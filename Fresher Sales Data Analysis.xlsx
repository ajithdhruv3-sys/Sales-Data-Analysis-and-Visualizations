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d5b84c605c744d3/Documents/Ajith/My Projects/"/>
    </mc:Choice>
  </mc:AlternateContent>
  <xr:revisionPtr revIDLastSave="636" documentId="8_{92217AA3-7A17-405F-B63F-E91FFD1C1225}" xr6:coauthVersionLast="47" xr6:coauthVersionMax="47" xr10:uidLastSave="{2F666378-2E6C-4016-AD57-1A9B34EA810E}"/>
  <bookViews>
    <workbookView xWindow="-108" yWindow="-108" windowWidth="23256" windowHeight="13176" activeTab="2" xr2:uid="{F3577B7D-8DBD-49A4-A809-9193D44E242D}"/>
  </bookViews>
  <sheets>
    <sheet name="Sales Data" sheetId="1" r:id="rId1"/>
    <sheet name="Pivot Tables" sheetId="2" r:id="rId2"/>
    <sheet name="Dash Board" sheetId="4" r:id="rId3"/>
  </sheets>
  <calcPr calcId="191029"/>
  <pivotCaches>
    <pivotCache cacheId="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4" i="1" l="1"/>
  <c r="H5" i="1"/>
  <c r="H8" i="1"/>
  <c r="H10" i="1"/>
  <c r="H15" i="1"/>
  <c r="H18" i="1"/>
  <c r="H23" i="1"/>
  <c r="H29" i="1"/>
  <c r="H30" i="1"/>
  <c r="H32" i="1"/>
  <c r="H19" i="1"/>
  <c r="H33" i="1"/>
  <c r="H35" i="1"/>
  <c r="H6" i="1"/>
  <c r="H12" i="1"/>
  <c r="H27" i="1"/>
  <c r="H26" i="1"/>
  <c r="H3" i="1"/>
  <c r="H7" i="1"/>
  <c r="H25" i="1"/>
  <c r="H14" i="1"/>
  <c r="H2" i="1"/>
  <c r="H24" i="1"/>
  <c r="H28" i="1"/>
  <c r="H31" i="1"/>
  <c r="H17" i="1"/>
  <c r="H22" i="1"/>
  <c r="H13" i="1"/>
  <c r="H9" i="1"/>
  <c r="H11" i="1"/>
  <c r="H16" i="1"/>
  <c r="H34" i="1"/>
  <c r="H20" i="1"/>
  <c r="H21" i="1"/>
</calcChain>
</file>

<file path=xl/sharedStrings.xml><?xml version="1.0" encoding="utf-8"?>
<sst xmlns="http://schemas.openxmlformats.org/spreadsheetml/2006/main" count="215" uniqueCount="91">
  <si>
    <t>Product Name</t>
  </si>
  <si>
    <t>Brand Name</t>
  </si>
  <si>
    <t>Price ($)</t>
  </si>
  <si>
    <t>Quantity</t>
  </si>
  <si>
    <t>Category</t>
  </si>
  <si>
    <t>Country Code</t>
  </si>
  <si>
    <t>Laptop</t>
  </si>
  <si>
    <t>Dell</t>
  </si>
  <si>
    <t>Electronics</t>
  </si>
  <si>
    <t>Sneakers</t>
  </si>
  <si>
    <t>Nike</t>
  </si>
  <si>
    <t>Fashion</t>
  </si>
  <si>
    <t>Coffee Maker</t>
  </si>
  <si>
    <t>Keurig</t>
  </si>
  <si>
    <t>Kitchen</t>
  </si>
  <si>
    <t>Smartphone</t>
  </si>
  <si>
    <t>Samsung</t>
  </si>
  <si>
    <t>Backpack</t>
  </si>
  <si>
    <t>North Face</t>
  </si>
  <si>
    <t>Outdoor</t>
  </si>
  <si>
    <t>Headphones</t>
  </si>
  <si>
    <t>Sony</t>
  </si>
  <si>
    <t>T-shirt</t>
  </si>
  <si>
    <t>Adidas</t>
  </si>
  <si>
    <t>Blender</t>
  </si>
  <si>
    <t>Ninja</t>
  </si>
  <si>
    <t>Tablet</t>
  </si>
  <si>
    <t>Apple</t>
  </si>
  <si>
    <t>Hiking Boots</t>
  </si>
  <si>
    <t>Timberland</t>
  </si>
  <si>
    <t>HP</t>
  </si>
  <si>
    <t>Nespresso</t>
  </si>
  <si>
    <t>Smartwatch</t>
  </si>
  <si>
    <t>Fitbit</t>
  </si>
  <si>
    <t>Bose</t>
  </si>
  <si>
    <t>Laptop Bag</t>
  </si>
  <si>
    <t>Samsonite</t>
  </si>
  <si>
    <t>Accessories</t>
  </si>
  <si>
    <t>Huawei</t>
  </si>
  <si>
    <t>Asus</t>
  </si>
  <si>
    <t>Sunglasses</t>
  </si>
  <si>
    <t>Oakley</t>
  </si>
  <si>
    <t>Camping Tent</t>
  </si>
  <si>
    <t>Coleman</t>
  </si>
  <si>
    <t>Camera</t>
  </si>
  <si>
    <t>Nikon</t>
  </si>
  <si>
    <t>Microwave</t>
  </si>
  <si>
    <t>Panasonic</t>
  </si>
  <si>
    <t>Fitness Tracker</t>
  </si>
  <si>
    <t>Xiaomi</t>
  </si>
  <si>
    <t>Google</t>
  </si>
  <si>
    <t>Ray-Ban</t>
  </si>
  <si>
    <t>Vitamix</t>
  </si>
  <si>
    <t>Dress</t>
  </si>
  <si>
    <t>Zara</t>
  </si>
  <si>
    <t>Toaster</t>
  </si>
  <si>
    <t>Hamilton</t>
  </si>
  <si>
    <t>Garmin</t>
  </si>
  <si>
    <t>Jeans</t>
  </si>
  <si>
    <t>Levi's</t>
  </si>
  <si>
    <t>Watch</t>
  </si>
  <si>
    <t>Casio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</si>
  <si>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</si>
  <si>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</si>
  <si>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</si>
  <si>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</si>
  <si>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</si>
  <si>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</si>
  <si>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</si>
  <si>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</si>
  <si>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</si>
  <si>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</si>
  <si>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</si>
  <si>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</si>
  <si>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Date of Purchase</t>
  </si>
  <si>
    <t>Total</t>
  </si>
  <si>
    <t>Grand Total</t>
  </si>
  <si>
    <t>Row Labels</t>
  </si>
  <si>
    <t>Sum of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</si>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</sst>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theme="1"/>
      <name val="Arial"/>
    </font>
    <font>
      <b/>
      <sz val="10"/>
      <color theme="1"/>
      <name val="Arial"/>
      <family val="2"/>
    </font>
    <font>
      <sz val="10"/>
      <color theme="1"/>
      <name val="Arial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theme="0"/>
        <bgColor rgb="FFE0F7FA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4" fontId="2" fillId="2" borderId="0" xfId="0" applyNumberFormat="1" applyFont="1" applyFill="1" applyAlignment="1">
      <alignment horizontal="center"/>
    </xf>
    <xf numFmtId="14" fontId="0" fillId="0" borderId="0" xfId="0" applyNumberFormat="1"/>
    <xf numFmtId="0" fontId="3" fillId="3" borderId="1" xfId="0" applyFont="1" applyFill="1" applyBorder="1" applyAlignment="1">
      <alignment horizontal="center"/>
    </xf>
    <xf numFmtId="14" fontId="4" fillId="3" borderId="1" xfId="0" applyNumberFormat="1" applyFont="1" applyFill="1" applyBorder="1" applyAlignment="1">
      <alignment horizontal="center"/>
    </xf>
    <xf numFmtId="0" fontId="3" fillId="3" borderId="1" xfId="0" applyFont="1" applyFill="1" applyBorder="1"/>
    <xf numFmtId="0" fontId="4" fillId="3" borderId="1" xfId="0" applyFont="1" applyFill="1" applyBorder="1"/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fill>
        <patternFill patternType="solid">
          <fgColor rgb="FFE0F7FA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[Fresher Sales Data Analysis.xlsx]Pivot Tables!PivotTable4</c:name>
    <c:fmtId val="89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>
              <a:glow rad="228600">
                <a:schemeClr val="accent2">
                  <a:satMod val="175000"/>
                  <a:alpha val="40000"/>
                </a:schemeClr>
              </a:glow>
            </a:effectLst>
          </c:spPr>
          <c:txPr>
            <a:bodyPr rot="-5400000" spcFirstLastPara="1" vertOverflow="overflow" horzOverflow="overflow" vert="horz" wrap="square" lIns="38100" tIns="19050" rIns="38100" bIns="19050" anchor="ctr" anchorCtr="0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  <a:sp3d/>
        </c:spPr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</c:pivotFmt>
      <c:pivotFmt>
        <c:idx val="3"/>
        <c:spPr>
          <a:solidFill>
            <a:schemeClr val="accent6"/>
          </a:solidFill>
          <a:ln>
            <a:noFill/>
          </a:ln>
          <a:effectLst/>
          <a:sp3d/>
        </c:spPr>
      </c:pivotFmt>
      <c:pivotFmt>
        <c:idx val="4"/>
        <c:spPr>
          <a:solidFill>
            <a:schemeClr val="accent6"/>
          </a:solidFill>
          <a:ln>
            <a:noFill/>
          </a:ln>
          <a:effectLst/>
          <a:sp3d/>
        </c:spPr>
      </c:pivotFmt>
      <c:pivotFmt>
        <c:idx val="5"/>
        <c:spPr>
          <a:solidFill>
            <a:schemeClr val="accent4"/>
          </a:solidFill>
          <a:ln>
            <a:noFill/>
          </a:ln>
          <a:effectLst/>
          <a:sp3d/>
        </c:spPr>
      </c:pivotFmt>
      <c:pivotFmt>
        <c:idx val="6"/>
        <c:spPr>
          <a:solidFill>
            <a:schemeClr val="accent4"/>
          </a:solidFill>
          <a:ln>
            <a:noFill/>
          </a:ln>
          <a:effectLst/>
          <a:sp3d/>
        </c:spPr>
      </c:pivotFmt>
      <c:pivotFmt>
        <c:idx val="7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  <a:sp3d/>
        </c:spPr>
      </c:pivotFmt>
      <c:pivotFmt>
        <c:idx val="8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  <a:sp3d/>
        </c:spPr>
      </c:pivotFmt>
      <c:pivotFmt>
        <c:idx val="9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  <a:sp3d/>
        </c:spPr>
      </c:pivotFmt>
      <c:pivotFmt>
        <c:idx val="10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  <a:sp3d/>
        </c:spPr>
      </c:pivotFmt>
      <c:pivotFmt>
        <c:idx val="11"/>
        <c:spPr>
          <a:solidFill>
            <a:srgbClr val="FFFF00"/>
          </a:solidFill>
          <a:ln>
            <a:noFill/>
          </a:ln>
          <a:effectLst/>
          <a:sp3d/>
        </c:spPr>
      </c:pivotFmt>
      <c:pivotFmt>
        <c:idx val="12"/>
        <c:spPr>
          <a:solidFill>
            <a:srgbClr val="FFFF00"/>
          </a:solidFill>
          <a:ln>
            <a:noFill/>
          </a:ln>
          <a:effectLst/>
          <a:sp3d/>
        </c:spPr>
      </c:pivotFmt>
      <c:pivotFmt>
        <c:idx val="13"/>
        <c:spPr>
          <a:solidFill>
            <a:schemeClr val="accent4">
              <a:lumMod val="20000"/>
              <a:lumOff val="80000"/>
            </a:schemeClr>
          </a:solidFill>
          <a:ln>
            <a:noFill/>
          </a:ln>
          <a:effectLst/>
          <a:sp3d/>
        </c:spPr>
      </c:pivotFmt>
      <c:pivotFmt>
        <c:idx val="14"/>
        <c:spPr>
          <a:solidFill>
            <a:schemeClr val="accent4">
              <a:lumMod val="20000"/>
              <a:lumOff val="80000"/>
            </a:schemeClr>
          </a:solidFill>
          <a:ln>
            <a:noFill/>
          </a:ln>
          <a:effectLst/>
          <a:sp3d/>
        </c:spPr>
      </c:pivotFmt>
      <c:pivotFmt>
        <c:idx val="15"/>
        <c:spPr>
          <a:solidFill>
            <a:schemeClr val="accent3">
              <a:lumMod val="20000"/>
              <a:lumOff val="80000"/>
            </a:schemeClr>
          </a:solidFill>
          <a:ln>
            <a:noFill/>
          </a:ln>
          <a:effectLst/>
          <a:sp3d/>
        </c:spPr>
      </c:pivotFmt>
      <c:pivotFmt>
        <c:idx val="16"/>
        <c:spPr>
          <a:solidFill>
            <a:schemeClr val="accent3">
              <a:lumMod val="20000"/>
              <a:lumOff val="80000"/>
            </a:schemeClr>
          </a:solidFill>
          <a:ln>
            <a:noFill/>
          </a:ln>
          <a:effectLst/>
          <a:sp3d/>
        </c:spPr>
      </c:pivotFmt>
      <c:pivotFmt>
        <c:idx val="17"/>
        <c:spPr>
          <a:solidFill>
            <a:schemeClr val="accent3">
              <a:lumMod val="20000"/>
              <a:lumOff val="80000"/>
            </a:schemeClr>
          </a:solidFill>
          <a:ln>
            <a:noFill/>
          </a:ln>
          <a:effectLst/>
          <a:sp3d/>
        </c:spPr>
      </c:pivotFmt>
      <c:pivotFmt>
        <c:idx val="18"/>
        <c:spPr>
          <a:solidFill>
            <a:schemeClr val="accent3">
              <a:lumMod val="20000"/>
              <a:lumOff val="80000"/>
            </a:schemeClr>
          </a:solidFill>
          <a:ln>
            <a:noFill/>
          </a:ln>
          <a:effectLst/>
          <a:sp3d/>
        </c:spPr>
      </c:pivotFmt>
      <c:pivotFmt>
        <c:idx val="1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"/>
        <c:spPr>
          <a:solidFill>
            <a:srgbClr val="FF0000"/>
          </a:solidFill>
          <a:ln>
            <a:noFill/>
          </a:ln>
          <a:effectLst/>
          <a:sp3d/>
        </c:spPr>
      </c:pivotFmt>
      <c:pivotFmt>
        <c:idx val="22"/>
        <c:spPr>
          <a:solidFill>
            <a:srgbClr val="FF0000"/>
          </a:solidFill>
          <a:ln>
            <a:noFill/>
          </a:ln>
          <a:effectLst/>
          <a:sp3d/>
        </c:spPr>
      </c:pivotFmt>
      <c:pivotFmt>
        <c:idx val="23"/>
        <c:spPr>
          <a:solidFill>
            <a:srgbClr val="FF0000"/>
          </a:solidFill>
          <a:ln>
            <a:noFill/>
          </a:ln>
          <a:effectLst/>
          <a:sp3d/>
        </c:spPr>
      </c:pivotFmt>
      <c:pivotFmt>
        <c:idx val="24"/>
        <c:spPr>
          <a:solidFill>
            <a:srgbClr val="FF0000"/>
          </a:solidFill>
          <a:ln>
            <a:noFill/>
          </a:ln>
          <a:effectLst/>
          <a:sp3d/>
        </c:spPr>
      </c:pivotFmt>
      <c:pivotFmt>
        <c:idx val="25"/>
        <c:spPr>
          <a:solidFill>
            <a:srgbClr val="FF0000"/>
          </a:solidFill>
          <a:ln>
            <a:noFill/>
          </a:ln>
          <a:effectLst/>
          <a:sp3d/>
        </c:spPr>
      </c:pivotFmt>
      <c:pivotFmt>
        <c:idx val="26"/>
        <c:spPr>
          <a:solidFill>
            <a:srgbClr val="FF0000"/>
          </a:solidFill>
          <a:ln>
            <a:noFill/>
          </a:ln>
          <a:effectLst/>
          <a:sp3d/>
        </c:spPr>
      </c:pivotFmt>
      <c:pivotFmt>
        <c:idx val="27"/>
        <c:spPr>
          <a:solidFill>
            <a:srgbClr val="FF0000"/>
          </a:solidFill>
          <a:ln>
            <a:noFill/>
          </a:ln>
          <a:effectLst/>
          <a:sp3d/>
        </c:spPr>
      </c:pivotFmt>
      <c:pivotFmt>
        <c:idx val="28"/>
        <c:spPr>
          <a:solidFill>
            <a:srgbClr val="FF0000"/>
          </a:solidFill>
          <a:ln>
            <a:noFill/>
          </a:ln>
          <a:effectLst/>
          <a:sp3d/>
        </c:spPr>
      </c:pivotFmt>
      <c:pivotFmt>
        <c:idx val="29"/>
        <c:spPr>
          <a:solidFill>
            <a:srgbClr val="FF0000"/>
          </a:solidFill>
          <a:ln>
            <a:noFill/>
          </a:ln>
          <a:effectLst/>
          <a:sp3d/>
        </c:spPr>
      </c:pivotFmt>
      <c:pivotFmt>
        <c:idx val="30"/>
        <c:spPr>
          <a:solidFill>
            <a:srgbClr val="FF0000"/>
          </a:solidFill>
          <a:ln>
            <a:noFill/>
          </a:ln>
          <a:effectLst/>
          <a:sp3d/>
        </c:spPr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bg2"/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Tables'!$B$41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2-89BE-4880-9E4F-88B91944709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89BE-4880-9E4F-88B91944709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4-89BE-4880-9E4F-88B91944709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89BE-4880-9E4F-88B919447090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6-89BE-4880-9E4F-88B919447090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89BE-4880-9E4F-88B919447090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8-89BE-4880-9E4F-88B919447090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9-89BE-4880-9E4F-88B919447090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A-89BE-4880-9E4F-88B919447090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B-89BE-4880-9E4F-88B919447090}"/>
              </c:ext>
            </c:extLst>
          </c:dPt>
          <c:dPt>
            <c:idx val="10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C-89BE-4880-9E4F-88B919447090}"/>
              </c:ext>
            </c:extLst>
          </c:dPt>
          <c:dPt>
            <c:idx val="11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D-89BE-4880-9E4F-88B919447090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E-89BE-4880-9E4F-88B919447090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F-89BE-4880-9E4F-88B919447090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0-89BE-4880-9E4F-88B919447090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1-89BE-4880-9E4F-88B919447090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2-89BE-4880-9E4F-88B919447090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3-89BE-4880-9E4F-88B919447090}"/>
              </c:ext>
            </c:extLst>
          </c:dPt>
          <c:dPt>
            <c:idx val="2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6-89BE-4880-9E4F-88B919447090}"/>
              </c:ext>
            </c:extLst>
          </c:dPt>
          <c:dPt>
            <c:idx val="2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7-89BE-4880-9E4F-88B919447090}"/>
              </c:ext>
            </c:extLst>
          </c:dPt>
          <c:dPt>
            <c:idx val="2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8-89BE-4880-9E4F-88B919447090}"/>
              </c:ext>
            </c:extLst>
          </c:dPt>
          <c:dPt>
            <c:idx val="2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9-89BE-4880-9E4F-88B919447090}"/>
              </c:ext>
            </c:extLst>
          </c:dPt>
          <c:dPt>
            <c:idx val="2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A-89BE-4880-9E4F-88B919447090}"/>
              </c:ext>
            </c:extLst>
          </c:dPt>
          <c:dPt>
            <c:idx val="2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B-89BE-4880-9E4F-88B919447090}"/>
              </c:ext>
            </c:extLst>
          </c:dPt>
          <c:dPt>
            <c:idx val="2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C-89BE-4880-9E4F-88B919447090}"/>
              </c:ext>
            </c:extLst>
          </c:dPt>
          <c:dPt>
            <c:idx val="27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D-89BE-4880-9E4F-88B919447090}"/>
              </c:ext>
            </c:extLst>
          </c:dPt>
          <c:dPt>
            <c:idx val="2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E-89BE-4880-9E4F-88B919447090}"/>
              </c:ext>
            </c:extLst>
          </c:dPt>
          <c:dPt>
            <c:idx val="29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F-89BE-4880-9E4F-88B919447090}"/>
              </c:ext>
            </c:extLst>
          </c:dPt>
          <c:dLbls>
            <c:spPr>
              <a:noFill/>
              <a:ln>
                <a:noFill/>
              </a:ln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c:spPr>
            <c:txPr>
              <a:bodyPr rot="-5400000" spcFirstLastPara="1" vertOverflow="overflow" horzOverflow="overflow" vert="horz" wrap="square" lIns="38100" tIns="19050" rIns="38100" bIns="19050" anchor="ctr" anchorCtr="0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'Pivot Tables'!$A$42:$A$72</c:f>
              <c:strCache>
                <c:ptCount val="30"/>
                <c:pt idx="0">
                  <c:v>HP</c:v>
                </c:pt>
                <c:pt idx="1">
                  <c:v>Google</c:v>
                </c:pt>
                <c:pt idx="2">
                  <c:v>Nikon</c:v>
                </c:pt>
                <c:pt idx="3">
                  <c:v>Dell</c:v>
                </c:pt>
                <c:pt idx="4">
                  <c:v>Apple</c:v>
                </c:pt>
                <c:pt idx="5">
                  <c:v>Samsung</c:v>
                </c:pt>
                <c:pt idx="6">
                  <c:v>Vitamix</c:v>
                </c:pt>
                <c:pt idx="7">
                  <c:v>Asus</c:v>
                </c:pt>
                <c:pt idx="8">
                  <c:v>Bose</c:v>
                </c:pt>
                <c:pt idx="9">
                  <c:v>Sony</c:v>
                </c:pt>
                <c:pt idx="10">
                  <c:v>Keurig</c:v>
                </c:pt>
                <c:pt idx="11">
                  <c:v>Xiaomi</c:v>
                </c:pt>
                <c:pt idx="12">
                  <c:v>Nespresso</c:v>
                </c:pt>
                <c:pt idx="13">
                  <c:v>Adidas</c:v>
                </c:pt>
                <c:pt idx="14">
                  <c:v>Samsonite</c:v>
                </c:pt>
                <c:pt idx="15">
                  <c:v>Ray-Ban</c:v>
                </c:pt>
                <c:pt idx="16">
                  <c:v>Ninja</c:v>
                </c:pt>
                <c:pt idx="17">
                  <c:v>Levi's</c:v>
                </c:pt>
                <c:pt idx="18">
                  <c:v>Huawei</c:v>
                </c:pt>
                <c:pt idx="19">
                  <c:v>Oakley</c:v>
                </c:pt>
                <c:pt idx="20">
                  <c:v>Fitbit</c:v>
                </c:pt>
                <c:pt idx="21">
                  <c:v>Casio</c:v>
                </c:pt>
                <c:pt idx="22">
                  <c:v>Coleman</c:v>
                </c:pt>
                <c:pt idx="23">
                  <c:v>Zara</c:v>
                </c:pt>
                <c:pt idx="24">
                  <c:v>Panasonic</c:v>
                </c:pt>
                <c:pt idx="25">
                  <c:v>North Face</c:v>
                </c:pt>
                <c:pt idx="26">
                  <c:v>Timberland</c:v>
                </c:pt>
                <c:pt idx="27">
                  <c:v>Nike</c:v>
                </c:pt>
                <c:pt idx="28">
                  <c:v>Garmin</c:v>
                </c:pt>
                <c:pt idx="29">
                  <c:v>Hamilton</c:v>
                </c:pt>
              </c:strCache>
            </c:strRef>
          </c:cat>
          <c:val>
            <c:numRef>
              <c:f>'Pivot Tables'!$B$42:$B$72</c:f>
              <c:numCache>
                <c:formatCode>General</c:formatCode>
                <c:ptCount val="30"/>
                <c:pt idx="0">
                  <c:v>47500</c:v>
                </c:pt>
                <c:pt idx="1">
                  <c:v>36000</c:v>
                </c:pt>
                <c:pt idx="2">
                  <c:v>35000</c:v>
                </c:pt>
                <c:pt idx="3">
                  <c:v>30000</c:v>
                </c:pt>
                <c:pt idx="4">
                  <c:v>25000</c:v>
                </c:pt>
                <c:pt idx="5">
                  <c:v>22500</c:v>
                </c:pt>
                <c:pt idx="6">
                  <c:v>16000</c:v>
                </c:pt>
                <c:pt idx="7">
                  <c:v>9800</c:v>
                </c:pt>
                <c:pt idx="8">
                  <c:v>9600</c:v>
                </c:pt>
                <c:pt idx="9">
                  <c:v>9000</c:v>
                </c:pt>
                <c:pt idx="10">
                  <c:v>5200</c:v>
                </c:pt>
                <c:pt idx="11">
                  <c:v>4500</c:v>
                </c:pt>
                <c:pt idx="12">
                  <c:v>4200</c:v>
                </c:pt>
                <c:pt idx="13">
                  <c:v>3750</c:v>
                </c:pt>
                <c:pt idx="14">
                  <c:v>3500</c:v>
                </c:pt>
                <c:pt idx="15">
                  <c:v>3250</c:v>
                </c:pt>
                <c:pt idx="16">
                  <c:v>3150</c:v>
                </c:pt>
                <c:pt idx="17">
                  <c:v>2500</c:v>
                </c:pt>
                <c:pt idx="18">
                  <c:v>2400</c:v>
                </c:pt>
                <c:pt idx="19">
                  <c:v>2250</c:v>
                </c:pt>
                <c:pt idx="20">
                  <c:v>2250</c:v>
                </c:pt>
                <c:pt idx="21">
                  <c:v>2000</c:v>
                </c:pt>
                <c:pt idx="22">
                  <c:v>2000</c:v>
                </c:pt>
                <c:pt idx="23">
                  <c:v>1800</c:v>
                </c:pt>
                <c:pt idx="24">
                  <c:v>1600</c:v>
                </c:pt>
                <c:pt idx="25">
                  <c:v>1400</c:v>
                </c:pt>
                <c:pt idx="26">
                  <c:v>1300</c:v>
                </c:pt>
                <c:pt idx="27">
                  <c:v>1200</c:v>
                </c:pt>
                <c:pt idx="28">
                  <c:v>650</c:v>
                </c:pt>
                <c:pt idx="29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BE-4880-9E4F-88B91944709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913676640"/>
        <c:axId val="913670400"/>
        <c:axId val="0"/>
      </c:bar3DChart>
      <c:catAx>
        <c:axId val="913676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670400"/>
        <c:crosses val="autoZero"/>
        <c:auto val="1"/>
        <c:lblAlgn val="ctr"/>
        <c:lblOffset val="100"/>
        <c:noMultiLvlLbl val="0"/>
      </c:catAx>
      <c:valAx>
        <c:axId val="91367040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913676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[Fresher Sales Data Analysis.xlsx]Pivot Tables!PivotTable1</c:name>
    <c:fmtId val="4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100" b="1">
                <a:solidFill>
                  <a:schemeClr val="accent6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Country</a:t>
            </a:r>
            <a:r>
              <a:rPr lang="en-US" sz="11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Wise</a:t>
            </a:r>
            <a:r>
              <a:rPr lang="en-US" sz="1100" b="1" baseline="0">
                <a:solidFill>
                  <a:schemeClr val="accent6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Sales</a:t>
            </a:r>
            <a:r>
              <a:rPr lang="en-US" sz="1100" b="1" baseline="0">
                <a:solidFill>
                  <a:schemeClr val="accent6"/>
                </a:solidFill>
              </a:rPr>
              <a:t> </a:t>
            </a:r>
            <a:endParaRPr lang="en-US" sz="1100" b="1">
              <a:solidFill>
                <a:schemeClr val="accent6"/>
              </a:solidFill>
            </a:endParaRPr>
          </a:p>
        </c:rich>
      </c:tx>
      <c:layout>
        <c:manualLayout>
          <c:xMode val="edge"/>
          <c:yMode val="edge"/>
          <c:x val="0.62865846879637288"/>
          <c:y val="2.67571168988491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4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5"/>
        <c:spPr>
          <a:solidFill>
            <a:schemeClr val="accent3">
              <a:lumMod val="20000"/>
              <a:lumOff val="8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6"/>
        <c:spPr>
          <a:solidFill>
            <a:schemeClr val="accent3">
              <a:lumMod val="20000"/>
              <a:lumOff val="8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7"/>
        <c:spPr>
          <a:solidFill>
            <a:schemeClr val="accent3">
              <a:lumMod val="20000"/>
              <a:lumOff val="8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8"/>
        <c:spPr>
          <a:solidFill>
            <a:schemeClr val="accent2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9"/>
        <c:spPr>
          <a:solidFill>
            <a:schemeClr val="accent2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0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1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2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3"/>
        <c:spPr>
          <a:solidFill>
            <a:srgbClr val="FF0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4"/>
        <c:spPr>
          <a:solidFill>
            <a:srgbClr val="FF0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5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7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8"/>
        <c:spPr>
          <a:solidFill>
            <a:schemeClr val="accent3">
              <a:lumMod val="20000"/>
              <a:lumOff val="8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9"/>
        <c:spPr>
          <a:solidFill>
            <a:schemeClr val="accent3">
              <a:lumMod val="20000"/>
              <a:lumOff val="8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0"/>
        <c:spPr>
          <a:solidFill>
            <a:schemeClr val="accent3">
              <a:lumMod val="20000"/>
              <a:lumOff val="8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1"/>
        <c:spPr>
          <a:solidFill>
            <a:schemeClr val="accent2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2"/>
        <c:spPr>
          <a:solidFill>
            <a:schemeClr val="accent2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3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4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5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6"/>
        <c:spPr>
          <a:solidFill>
            <a:srgbClr val="FF0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7"/>
        <c:spPr>
          <a:solidFill>
            <a:srgbClr val="FF0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0555555555555555E-2"/>
          <c:y val="0.24634040536599591"/>
          <c:w val="0.93888888888888888"/>
          <c:h val="0.57499671916010497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1A15-40A4-A611-714BB29404E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1A15-40A4-A611-714BB29404E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1A15-40A4-A611-714BB29404E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1A15-40A4-A611-714BB29404E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1A15-40A4-A611-714BB29404EA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1A15-40A4-A611-714BB29404EA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1A15-40A4-A611-714BB29404EA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1A15-40A4-A611-714BB29404EA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1-1A15-40A4-A611-714BB29404EA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3-1A15-40A4-A611-714BB29404EA}"/>
              </c:ext>
            </c:extLst>
          </c:dPt>
          <c:dPt>
            <c:idx val="1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5-1A15-40A4-A611-714BB29404EA}"/>
              </c:ext>
            </c:extLst>
          </c:dPt>
          <c:dPt>
            <c:idx val="1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7-1A15-40A4-A611-714BB29404E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Tables'!$A$4:$A$16</c:f>
              <c:strCache>
                <c:ptCount val="12"/>
                <c:pt idx="0">
                  <c:v>CA</c:v>
                </c:pt>
                <c:pt idx="1">
                  <c:v>US</c:v>
                </c:pt>
                <c:pt idx="2">
                  <c:v>IN</c:v>
                </c:pt>
                <c:pt idx="3">
                  <c:v>UK</c:v>
                </c:pt>
                <c:pt idx="4">
                  <c:v>RU</c:v>
                </c:pt>
                <c:pt idx="5">
                  <c:v>IT</c:v>
                </c:pt>
                <c:pt idx="6">
                  <c:v>ES</c:v>
                </c:pt>
                <c:pt idx="7">
                  <c:v>BR</c:v>
                </c:pt>
                <c:pt idx="8">
                  <c:v>DE</c:v>
                </c:pt>
                <c:pt idx="9">
                  <c:v>AU</c:v>
                </c:pt>
                <c:pt idx="10">
                  <c:v>CN</c:v>
                </c:pt>
                <c:pt idx="11">
                  <c:v>FR</c:v>
                </c:pt>
              </c:strCache>
            </c:strRef>
          </c:cat>
          <c:val>
            <c:numRef>
              <c:f>'Pivot Tables'!$B$4:$B$16</c:f>
              <c:numCache>
                <c:formatCode>General</c:formatCode>
                <c:ptCount val="12"/>
                <c:pt idx="0">
                  <c:v>67950</c:v>
                </c:pt>
                <c:pt idx="1">
                  <c:v>62300</c:v>
                </c:pt>
                <c:pt idx="2">
                  <c:v>47500</c:v>
                </c:pt>
                <c:pt idx="3">
                  <c:v>40850</c:v>
                </c:pt>
                <c:pt idx="4">
                  <c:v>35000</c:v>
                </c:pt>
                <c:pt idx="5">
                  <c:v>9800</c:v>
                </c:pt>
                <c:pt idx="6">
                  <c:v>9600</c:v>
                </c:pt>
                <c:pt idx="7">
                  <c:v>4500</c:v>
                </c:pt>
                <c:pt idx="8">
                  <c:v>4200</c:v>
                </c:pt>
                <c:pt idx="9">
                  <c:v>3600</c:v>
                </c:pt>
                <c:pt idx="10">
                  <c:v>2400</c:v>
                </c:pt>
                <c:pt idx="11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A15-40A4-A611-714BB29404E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393506752"/>
        <c:axId val="1393497632"/>
        <c:axId val="0"/>
      </c:bar3DChart>
      <c:catAx>
        <c:axId val="1393506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gradFill>
            <a:gsLst>
              <a:gs pos="87000">
                <a:schemeClr val="tx1"/>
              </a:gs>
              <a:gs pos="100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path path="rect">
              <a:fillToRect l="100000" t="100000"/>
            </a:path>
          </a:gradFill>
          <a:ln>
            <a:solidFill>
              <a:schemeClr val="accent1">
                <a:alpha val="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1" i="0" u="none" strike="noStrike" kern="1200" baseline="0">
                <a:solidFill>
                  <a:schemeClr val="bg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93497632"/>
        <c:crosses val="autoZero"/>
        <c:auto val="0"/>
        <c:lblAlgn val="ctr"/>
        <c:lblOffset val="100"/>
        <c:noMultiLvlLbl val="0"/>
      </c:catAx>
      <c:valAx>
        <c:axId val="139349763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393506752"/>
        <c:crossesAt val="1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[Fresher Sales Data Analysis.xlsx]Pivot Tables!PivotTable3</c:name>
    <c:fmtId val="4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100" b="1" cap="none" spc="0">
                <a:ln w="0"/>
                <a:solidFill>
                  <a:schemeClr val="accent6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cs typeface="Times New Roman" panose="02020603050405020304" pitchFamily="18" charset="0"/>
              </a:rPr>
              <a:t>Month</a:t>
            </a:r>
            <a:r>
              <a:rPr lang="en-US" sz="1100" b="1" cap="none" spc="0">
                <a:ln w="0"/>
                <a:solidFill>
                  <a:schemeClr val="accent4">
                    <a:lumMod val="40000"/>
                    <a:lumOff val="60000"/>
                  </a:schemeClr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1100" b="1" cap="none" spc="0">
                <a:ln w="0"/>
                <a:solidFill>
                  <a:schemeClr val="accent4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cs typeface="Times New Roman" panose="02020603050405020304" pitchFamily="18" charset="0"/>
              </a:rPr>
              <a:t>Wise</a:t>
            </a:r>
            <a:r>
              <a:rPr lang="en-US" sz="1100" b="1" cap="none" spc="0">
                <a:ln w="0"/>
                <a:solidFill>
                  <a:schemeClr val="accent4">
                    <a:lumMod val="40000"/>
                    <a:lumOff val="60000"/>
                  </a:schemeClr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1100" b="1" cap="none" spc="0">
                <a:ln w="0"/>
                <a:solidFill>
                  <a:schemeClr val="accent6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cs typeface="Times New Roman" panose="02020603050405020304" pitchFamily="18" charset="0"/>
              </a:rPr>
              <a:t>Sales</a:t>
            </a:r>
          </a:p>
        </c:rich>
      </c:tx>
      <c:layout>
        <c:manualLayout>
          <c:xMode val="edge"/>
          <c:yMode val="edge"/>
          <c:x val="0.89649300087489059"/>
          <c:y val="2.67570720326625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chemeClr val="tx2">
                <a:lumMod val="50000"/>
                <a:lumOff val="50000"/>
              </a:schemeClr>
            </a:soli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chemeClr val="accent6"/>
            </a:soli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chemeClr val="accent6"/>
            </a:soli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rgbClr val="FFC000"/>
            </a:soli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rgbClr val="FFC000"/>
            </a:soli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rgbClr val="FFC000"/>
            </a:soli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chemeClr val="tx2">
                <a:lumMod val="50000"/>
                <a:lumOff val="50000"/>
              </a:schemeClr>
            </a:soli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chemeClr val="tx2">
                <a:lumMod val="50000"/>
                <a:lumOff val="50000"/>
              </a:schemeClr>
            </a:soli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chemeClr val="tx2">
                <a:lumMod val="50000"/>
                <a:lumOff val="50000"/>
              </a:schemeClr>
            </a:soli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chemeClr val="tx2">
                <a:lumMod val="50000"/>
                <a:lumOff val="50000"/>
              </a:schemeClr>
            </a:soli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chemeClr val="tx2">
                <a:lumMod val="50000"/>
                <a:lumOff val="50000"/>
              </a:schemeClr>
            </a:soli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chemeClr val="tx2">
                <a:lumMod val="50000"/>
                <a:lumOff val="50000"/>
              </a:schemeClr>
            </a:soli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chemeClr val="tx2">
                <a:lumMod val="50000"/>
                <a:lumOff val="50000"/>
              </a:schemeClr>
            </a:soli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chemeClr val="tx2">
                <a:lumMod val="50000"/>
                <a:lumOff val="50000"/>
              </a:schemeClr>
            </a:soli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rgbClr val="FFC000"/>
            </a:soli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rgbClr val="FF0000"/>
            </a:soli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rgbClr val="FF0000"/>
            </a:soli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rgbClr val="FFC000"/>
            </a:soli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rgbClr val="FFC000"/>
            </a:soli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chemeClr val="accent6"/>
            </a:soli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rgbClr val="FFFF00"/>
            </a:soli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rgbClr val="FF0000"/>
            </a:soli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chemeClr val="accent6"/>
            </a:soli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rgbClr val="FF0000"/>
            </a:soli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rgbClr val="FF0000"/>
            </a:soli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rgbClr val="FF0000"/>
            </a:soli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chemeClr val="tx2">
                <a:lumMod val="50000"/>
                <a:lumOff val="50000"/>
              </a:schemeClr>
            </a:soli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rgbClr val="FFC000"/>
            </a:soli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rgbClr val="FF0000"/>
            </a:soli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9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rgbClr val="FF0000"/>
            </a:soli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rgbClr val="FFC000"/>
            </a:soli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rgbClr val="FFC000"/>
            </a:soli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chemeClr val="accent6"/>
            </a:soli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rgbClr val="FFFF00"/>
            </a:soli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rgbClr val="FF0000"/>
            </a:soli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chemeClr val="accent6"/>
            </a:soli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rgbClr val="FF0000"/>
            </a:soli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rgbClr val="FF0000"/>
            </a:soli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rgbClr val="FF0000"/>
            </a:soli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Tables'!$B$18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chemeClr val="tx2">
                  <a:lumMod val="50000"/>
                  <a:lumOff val="50000"/>
                </a:schemeClr>
              </a:soli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Pt>
            <c:idx val="0"/>
            <c:marker>
              <c:symbol val="circle"/>
              <c:size val="6"/>
              <c:spPr>
                <a:solidFill>
                  <a:srgbClr val="FFC000"/>
                </a:soli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FCB4-47EF-AEF1-9EB5E7C080BD}"/>
              </c:ext>
            </c:extLst>
          </c:dPt>
          <c:dPt>
            <c:idx val="1"/>
            <c:marker>
              <c:symbol val="circle"/>
              <c:size val="6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CB4-47EF-AEF1-9EB5E7C080BD}"/>
              </c:ext>
            </c:extLst>
          </c:dPt>
          <c:dPt>
            <c:idx val="2"/>
            <c:marker>
              <c:symbol val="circle"/>
              <c:size val="6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FCB4-47EF-AEF1-9EB5E7C080BD}"/>
              </c:ext>
            </c:extLst>
          </c:dPt>
          <c:dPt>
            <c:idx val="3"/>
            <c:marker>
              <c:symbol val="circle"/>
              <c:size val="6"/>
              <c:spPr>
                <a:solidFill>
                  <a:srgbClr val="FFC000"/>
                </a:soli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CB4-47EF-AEF1-9EB5E7C080BD}"/>
              </c:ext>
            </c:extLst>
          </c:dPt>
          <c:dPt>
            <c:idx val="4"/>
            <c:marker>
              <c:symbol val="circle"/>
              <c:size val="6"/>
              <c:spPr>
                <a:solidFill>
                  <a:srgbClr val="FFC000"/>
                </a:soli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FCB4-47EF-AEF1-9EB5E7C080BD}"/>
              </c:ext>
            </c:extLst>
          </c:dPt>
          <c:dPt>
            <c:idx val="5"/>
            <c:marker>
              <c:symbol val="circle"/>
              <c:size val="6"/>
              <c:spPr>
                <a:solidFill>
                  <a:schemeClr val="accent6"/>
                </a:soli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CB4-47EF-AEF1-9EB5E7C080BD}"/>
              </c:ext>
            </c:extLst>
          </c:dPt>
          <c:dPt>
            <c:idx val="6"/>
            <c:marker>
              <c:symbol val="circle"/>
              <c:size val="6"/>
              <c:spPr>
                <a:solidFill>
                  <a:srgbClr val="FFFF00"/>
                </a:soli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FCB4-47EF-AEF1-9EB5E7C080BD}"/>
              </c:ext>
            </c:extLst>
          </c:dPt>
          <c:dPt>
            <c:idx val="7"/>
            <c:marker>
              <c:symbol val="circle"/>
              <c:size val="6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CB4-47EF-AEF1-9EB5E7C080BD}"/>
              </c:ext>
            </c:extLst>
          </c:dPt>
          <c:dPt>
            <c:idx val="8"/>
            <c:marker>
              <c:symbol val="circle"/>
              <c:size val="6"/>
              <c:spPr>
                <a:solidFill>
                  <a:schemeClr val="accent6"/>
                </a:soli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FCB4-47EF-AEF1-9EB5E7C080BD}"/>
              </c:ext>
            </c:extLst>
          </c:dPt>
          <c:dPt>
            <c:idx val="9"/>
            <c:marker>
              <c:symbol val="circle"/>
              <c:size val="6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CB4-47EF-AEF1-9EB5E7C080BD}"/>
              </c:ext>
            </c:extLst>
          </c:dPt>
          <c:dPt>
            <c:idx val="10"/>
            <c:marker>
              <c:symbol val="circle"/>
              <c:size val="6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FCB4-47EF-AEF1-9EB5E7C080BD}"/>
              </c:ext>
            </c:extLst>
          </c:dPt>
          <c:dPt>
            <c:idx val="11"/>
            <c:marker>
              <c:symbol val="circle"/>
              <c:size val="6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FCB4-47EF-AEF1-9EB5E7C080B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Tables'!$A$19:$A$31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Tables'!$B$19:$B$31</c:f>
              <c:numCache>
                <c:formatCode>General</c:formatCode>
                <c:ptCount val="12"/>
                <c:pt idx="0">
                  <c:v>41400</c:v>
                </c:pt>
                <c:pt idx="1">
                  <c:v>3450</c:v>
                </c:pt>
                <c:pt idx="2">
                  <c:v>9250</c:v>
                </c:pt>
                <c:pt idx="3">
                  <c:v>32500</c:v>
                </c:pt>
                <c:pt idx="4">
                  <c:v>37050</c:v>
                </c:pt>
                <c:pt idx="5">
                  <c:v>59750</c:v>
                </c:pt>
                <c:pt idx="6">
                  <c:v>22650</c:v>
                </c:pt>
                <c:pt idx="7">
                  <c:v>11050</c:v>
                </c:pt>
                <c:pt idx="8">
                  <c:v>61000</c:v>
                </c:pt>
                <c:pt idx="9">
                  <c:v>1300</c:v>
                </c:pt>
                <c:pt idx="10">
                  <c:v>3600</c:v>
                </c:pt>
                <c:pt idx="11">
                  <c:v>6700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CB4-47EF-AEF1-9EB5E7C080BD}"/>
            </c:ext>
          </c:extLst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93454912"/>
        <c:axId val="1393447712"/>
      </c:lineChart>
      <c:catAx>
        <c:axId val="1393454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gradFill>
            <a:gsLst>
              <a:gs pos="87000">
                <a:schemeClr val="tx1"/>
              </a:gs>
              <a:gs pos="100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path path="rect">
              <a:fillToRect l="100000" t="100000"/>
            </a:path>
          </a:gradFill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93447712"/>
        <c:crosses val="autoZero"/>
        <c:auto val="1"/>
        <c:lblAlgn val="ctr"/>
        <c:lblOffset val="100"/>
        <c:noMultiLvlLbl val="0"/>
      </c:catAx>
      <c:valAx>
        <c:axId val="139344771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393454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[Fresher Sales Data Analysis.xlsx]Pivot Tables!PivotTable2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050" b="1" i="0" u="none" strike="noStrike" kern="1200" cap="none" spc="0" baseline="0">
                <a:ln w="0"/>
                <a:solidFill>
                  <a:schemeClr val="accent6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050" b="1" i="0" u="none" strike="noStrike" kern="1200" cap="none" spc="0" baseline="0">
                <a:ln w="0"/>
                <a:solidFill>
                  <a:schemeClr val="accent6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Category </a:t>
            </a:r>
            <a:r>
              <a:rPr lang="en-US" sz="1050" b="1" i="0" u="none" strike="noStrike" kern="1200" cap="none" spc="0" baseline="0">
                <a:ln w="0"/>
                <a:solidFill>
                  <a:schemeClr val="accent4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wise</a:t>
            </a:r>
            <a:r>
              <a:rPr lang="en-US" sz="1050" b="1" i="0" u="none" strike="noStrike" kern="1200" cap="none" spc="0" baseline="0">
                <a:ln w="0"/>
                <a:solidFill>
                  <a:schemeClr val="accent6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 Sales</a:t>
            </a:r>
          </a:p>
        </c:rich>
      </c:tx>
      <c:layout>
        <c:manualLayout>
          <c:xMode val="edge"/>
          <c:yMode val="edge"/>
          <c:x val="0.73230586514849905"/>
          <c:y val="1.74982178153656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050" b="1" i="0" u="none" strike="noStrike" kern="1200" cap="none" spc="0" baseline="0">
              <a:ln w="0"/>
              <a:solidFill>
                <a:schemeClr val="accent6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layout>
            <c:manualLayout>
              <c:x val="-4.2948381452318461E-3"/>
              <c:y val="-7.9900845727617381E-2"/>
            </c:manualLayout>
          </c:layout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layout>
            <c:manualLayout>
              <c:x val="0.10469728783902002"/>
              <c:y val="5.9740449110527848E-3"/>
            </c:manualLayout>
          </c:layout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layout>
            <c:manualLayout>
              <c:x val="-0.1402992125984252"/>
              <c:y val="3.3480606590842808E-2"/>
            </c:manualLayout>
          </c:layout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layout>
            <c:manualLayout>
              <c:x val="-0.11061942257217849"/>
              <c:y val="0.11591936424613582"/>
            </c:manualLayout>
          </c:layout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layout>
            <c:manualLayout>
              <c:x val="0.11441251093613299"/>
              <c:y val="-0.3080748760571595"/>
            </c:manualLayout>
          </c:layout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</c:pivotFmt>
      <c:pivotFmt>
        <c:idx val="9"/>
      </c:pivotFmt>
      <c:pivotFmt>
        <c:idx val="10"/>
        <c:dLbl>
          <c:idx val="0"/>
          <c:layout>
            <c:manualLayout>
              <c:x val="-6.4865376202974626E-2"/>
              <c:y val="-2.7623942840478272E-2"/>
            </c:manualLayout>
          </c:layout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layout>
            <c:manualLayout>
              <c:x val="2.1824146981627808E-3"/>
              <c:y val="-4.7086249635462235E-2"/>
            </c:manualLayout>
          </c:layout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layout>
            <c:manualLayout>
              <c:x val="0.11441251093613299"/>
              <c:y val="-0.3080748760571595"/>
            </c:manualLayout>
          </c:layout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layout>
            <c:manualLayout>
              <c:x val="-6.4865376202974626E-2"/>
              <c:y val="-2.7623942840478272E-2"/>
            </c:manualLayout>
          </c:layout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layout>
            <c:manualLayout>
              <c:x val="2.1824146981627808E-3"/>
              <c:y val="-4.7086249635462235E-2"/>
            </c:manualLayout>
          </c:layout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4.1057757666869976E-2"/>
              <c:y val="-6.7796020765543114E-2"/>
            </c:manualLayout>
          </c:layout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70C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0.11441262422537436"/>
              <c:y val="-0.41322727009281573"/>
            </c:manualLayout>
          </c:layout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6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2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-5.8975981026946303E-2"/>
              <c:y val="-1.3570464575208855E-2"/>
            </c:manualLayout>
          </c:layout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2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-6.4865376202974626E-2"/>
              <c:y val="-2.7623942840478272E-2"/>
            </c:manualLayout>
          </c:layout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4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-3.5624835647906958E-2"/>
              <c:y val="-5.7601612889871416E-2"/>
            </c:manualLayout>
          </c:layout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5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Tables'!$B$33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C3BF-447B-BC34-B046ADBF189A}"/>
              </c:ext>
            </c:extLst>
          </c:dPt>
          <c:dPt>
            <c:idx val="1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C3BF-447B-BC34-B046ADBF189A}"/>
              </c:ext>
            </c:extLst>
          </c:dPt>
          <c:dPt>
            <c:idx val="2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C3BF-447B-BC34-B046ADBF189A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C3BF-447B-BC34-B046ADBF189A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C3BF-447B-BC34-B046ADBF189A}"/>
              </c:ext>
            </c:extLst>
          </c:dPt>
          <c:dLbls>
            <c:dLbl>
              <c:idx val="0"/>
              <c:layout>
                <c:manualLayout>
                  <c:x val="4.1057757666869976E-2"/>
                  <c:y val="-6.7796020765543114E-2"/>
                </c:manualLayout>
              </c:layout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0070C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BF-447B-BC34-B046ADBF189A}"/>
                </c:ext>
              </c:extLst>
            </c:dLbl>
            <c:dLbl>
              <c:idx val="1"/>
              <c:layout>
                <c:manualLayout>
                  <c:x val="0.11441262422537436"/>
                  <c:y val="-0.41322727009281573"/>
                </c:manualLayout>
              </c:layout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6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BF-447B-BC34-B046ADBF189A}"/>
                </c:ext>
              </c:extLst>
            </c:dLbl>
            <c:dLbl>
              <c:idx val="2"/>
              <c:layout>
                <c:manualLayout>
                  <c:x val="-5.8975981026946303E-2"/>
                  <c:y val="-1.3570464575208855E-2"/>
                </c:manualLayout>
              </c:layout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3BF-447B-BC34-B046ADBF189A}"/>
                </c:ext>
              </c:extLst>
            </c:dLbl>
            <c:dLbl>
              <c:idx val="3"/>
              <c:layout>
                <c:manualLayout>
                  <c:x val="-6.4865376202974626E-2"/>
                  <c:y val="-2.7623942840478272E-2"/>
                </c:manualLayout>
              </c:layout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4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3BF-447B-BC34-B046ADBF189A}"/>
                </c:ext>
              </c:extLst>
            </c:dLbl>
            <c:dLbl>
              <c:idx val="4"/>
              <c:layout>
                <c:manualLayout>
                  <c:x val="-3.5624835647906958E-2"/>
                  <c:y val="-5.7601612889871416E-2"/>
                </c:manualLayout>
              </c:layout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5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3BF-447B-BC34-B046ADBF189A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Tables'!$A$34:$A$39</c:f>
              <c:strCache>
                <c:ptCount val="5"/>
                <c:pt idx="0">
                  <c:v>Accessories</c:v>
                </c:pt>
                <c:pt idx="1">
                  <c:v>Electronics</c:v>
                </c:pt>
                <c:pt idx="2">
                  <c:v>Fashion</c:v>
                </c:pt>
                <c:pt idx="3">
                  <c:v>Kitchen</c:v>
                </c:pt>
                <c:pt idx="4">
                  <c:v>Outdoor</c:v>
                </c:pt>
              </c:strCache>
            </c:strRef>
          </c:cat>
          <c:val>
            <c:numRef>
              <c:f>'Pivot Tables'!$B$34:$B$39</c:f>
              <c:numCache>
                <c:formatCode>General</c:formatCode>
                <c:ptCount val="5"/>
                <c:pt idx="0">
                  <c:v>5500</c:v>
                </c:pt>
                <c:pt idx="1">
                  <c:v>234200</c:v>
                </c:pt>
                <c:pt idx="2">
                  <c:v>14750</c:v>
                </c:pt>
                <c:pt idx="3">
                  <c:v>30550</c:v>
                </c:pt>
                <c:pt idx="4">
                  <c:v>4700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3BF-447B-BC34-B046ADBF189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14687992125984251"/>
          <c:y val="0.10680555555555556"/>
          <c:w val="0.75269466316710409"/>
          <c:h val="7.34507144940215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297180</xdr:colOff>
      <xdr:row>49</xdr:row>
      <xdr:rowOff>175260</xdr:rowOff>
    </xdr:from>
    <xdr:to>
      <xdr:col>14</xdr:col>
      <xdr:colOff>53340</xdr:colOff>
      <xdr:row>65</xdr:row>
      <xdr:rowOff>83820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E59F838-C8F6-BDDA-FA5B-324CD5F859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114300</xdr:colOff>
      <xdr:row>1</xdr:row>
      <xdr:rowOff>99060</xdr:rowOff>
    </xdr:from>
    <xdr:to>
      <xdr:col>11</xdr:col>
      <xdr:colOff>236220</xdr:colOff>
      <xdr:row>15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061DA4-A139-4FEB-A07B-9D7FAC0499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365760</xdr:colOff>
      <xdr:row>1</xdr:row>
      <xdr:rowOff>91440</xdr:rowOff>
    </xdr:from>
    <xdr:to>
      <xdr:col>19</xdr:col>
      <xdr:colOff>175260</xdr:colOff>
      <xdr:row>15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41A4FE-79D5-4157-BAAA-EAD9A5E69C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601980</xdr:colOff>
      <xdr:row>15</xdr:row>
      <xdr:rowOff>129540</xdr:rowOff>
    </xdr:from>
    <xdr:to>
      <xdr:col>15</xdr:col>
      <xdr:colOff>457200</xdr:colOff>
      <xdr:row>29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6E0D0B4-FB62-43F2-B7E9-6B72C9CA2B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jith h" refreshedDate="46129.644983449078" createdVersion="8" refreshedVersion="8" minRefreshableVersion="3" recordCount="34" xr:uid="{6C1EF68A-062E-4109-BD23-88630F14114C}">
  <cacheSource type="worksheet">
    <worksheetSource name="Sales"/>
  </cacheSource>
  <cacheFields count="10">
    <cacheField name="Country Code" numFmtId="0">
      <sharedItems count="12">
        <s v="CA"/>
        <s v="IT"/>
        <s v="US"/>
        <s v="UK"/>
        <s v="ES"/>
        <s v="RU"/>
        <s v="IN"/>
        <s v="FR"/>
        <s v="BR"/>
        <s v="CN"/>
        <s v="AU"/>
        <s v="DE"/>
      </sharedItems>
    </cacheField>
    <cacheField name="Date of Purchase" numFmtId="14">
      <sharedItems containsSemiMixedTypes="0" containsNonDate="0" containsDate="1" containsString="0" minDate="2025-01-09T00:00:00" maxDate="2025-12-09T00:00:00" count="30">
        <d v="2025-01-09T00:00:00"/>
        <d v="2025-01-27T00:00:00"/>
        <d v="2025-01-28T00:00:00"/>
        <d v="2025-02-15T00:00:00"/>
        <d v="2025-02-18T00:00:00"/>
        <d v="2025-03-01T00:00:00"/>
        <d v="2025-03-03T00:00:00"/>
        <d v="2025-03-07T00:00:00"/>
        <d v="2025-04-11T00:00:00"/>
        <d v="2025-04-13T00:00:00"/>
        <d v="2025-04-16T00:00:00"/>
        <d v="2025-05-14T00:00:00"/>
        <d v="2025-05-22T00:00:00"/>
        <d v="2025-05-24T00:00:00"/>
        <d v="2025-06-03T00:00:00"/>
        <d v="2025-06-07T00:00:00"/>
        <d v="2025-06-17T00:00:00"/>
        <d v="2025-07-09T00:00:00"/>
        <d v="2025-07-11T00:00:00"/>
        <d v="2025-07-19T00:00:00"/>
        <d v="2025-08-14T00:00:00"/>
        <d v="2025-08-20T00:00:00"/>
        <d v="2025-08-21T00:00:00"/>
        <d v="2025-08-23T00:00:00"/>
        <d v="2025-09-05T00:00:00"/>
        <d v="2025-09-29T00:00:00"/>
        <d v="2025-10-14T00:00:00"/>
        <d v="2025-11-25T00:00:00"/>
        <d v="2025-12-02T00:00:00"/>
        <d v="2025-12-08T00:00:00"/>
      </sharedItems>
      <fieldGroup par="9"/>
    </cacheField>
    <cacheField name="Product Name" numFmtId="0">
      <sharedItems/>
    </cacheField>
    <cacheField name="Brand Name" numFmtId="0">
      <sharedItems count="30">
        <s v="Panasonic"/>
        <s v="Asus"/>
        <s v="Dell"/>
        <s v="Nike"/>
        <s v="Fitbit"/>
        <s v="Oakley"/>
        <s v="Keurig"/>
        <s v="Zara"/>
        <s v="Samsung"/>
        <s v="Hamilton"/>
        <s v="Bose"/>
        <s v="Nikon"/>
        <s v="North Face"/>
        <s v="Garmin"/>
        <s v="Ray-Ban"/>
        <s v="Sony"/>
        <s v="HP"/>
        <s v="Casio"/>
        <s v="Vitamix"/>
        <s v="Adidas"/>
        <s v="Xiaomi"/>
        <s v="Coleman"/>
        <s v="Huawei"/>
        <s v="Samsonite"/>
        <s v="Ninja"/>
        <s v="Apple"/>
        <s v="Google"/>
        <s v="Timberland"/>
        <s v="Levi's"/>
        <s v="Nespresso"/>
      </sharedItems>
    </cacheField>
    <cacheField name="Category" numFmtId="0">
      <sharedItems count="5">
        <s v="Kitchen"/>
        <s v="Electronics"/>
        <s v="Fashion"/>
        <s v="Outdoor"/>
        <s v="Accessories"/>
      </sharedItems>
    </cacheField>
    <cacheField name="Price ($)" numFmtId="0">
      <sharedItems containsSemiMixedTypes="0" containsString="0" containsNumber="1" containsInteger="1" minValue="30" maxValue="1000"/>
    </cacheField>
    <cacheField name="Quantity" numFmtId="0">
      <sharedItems containsSemiMixedTypes="0" containsString="0" containsNumber="1" containsInteger="1" minValue="5" maxValue="50"/>
    </cacheField>
    <cacheField name="Total" numFmtId="0">
      <sharedItems containsSemiMixedTypes="0" containsString="0" containsNumber="1" containsInteger="1" minValue="150" maxValue="36000" count="30">
        <n v="1600"/>
        <n v="9800"/>
        <n v="30000"/>
        <n v="1200"/>
        <n v="2250"/>
        <n v="5200"/>
        <n v="1800"/>
        <n v="22500"/>
        <n v="400"/>
        <n v="5000"/>
        <n v="4600"/>
        <n v="35000"/>
        <n v="1400"/>
        <n v="650"/>
        <n v="3250"/>
        <n v="9000"/>
        <n v="23750"/>
        <n v="2000"/>
        <n v="16000"/>
        <n v="150"/>
        <n v="4500"/>
        <n v="2400"/>
        <n v="1750"/>
        <n v="3150"/>
        <n v="25000"/>
        <n v="36000"/>
        <n v="1300"/>
        <n v="3600"/>
        <n v="2500"/>
        <n v="4200"/>
      </sharedItems>
    </cacheField>
    <cacheField name="Days (Date of Purchase)" numFmtId="0" databaseField="0">
      <fieldGroup base="1">
        <rangePr groupBy="days" startDate="2025-01-09T00:00:00" endDate="2025-12-09T00:00:00"/>
        <groupItems count="368">
          <s v="&lt;09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9-12-2025"/>
        </groupItems>
      </fieldGroup>
    </cacheField>
    <cacheField name="Months (Date of Purchase)" numFmtId="0" databaseField="0">
      <fieldGroup base="1">
        <rangePr groupBy="months" startDate="2025-01-09T00:00:00" endDate="2025-12-09T00:00:00"/>
        <groupItems count="14">
          <s v="&lt;09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9-12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x v="0"/>
    <x v="0"/>
    <s v="Microwave"/>
    <x v="0"/>
    <x v="0"/>
    <n v="80"/>
    <n v="20"/>
    <x v="0"/>
  </r>
  <r>
    <x v="1"/>
    <x v="1"/>
    <s v="Laptop"/>
    <x v="1"/>
    <x v="1"/>
    <n v="980"/>
    <n v="10"/>
    <x v="1"/>
  </r>
  <r>
    <x v="2"/>
    <x v="2"/>
    <s v="Laptop"/>
    <x v="2"/>
    <x v="1"/>
    <n v="1000"/>
    <n v="30"/>
    <x v="2"/>
  </r>
  <r>
    <x v="2"/>
    <x v="3"/>
    <s v="Sneakers"/>
    <x v="3"/>
    <x v="2"/>
    <n v="80"/>
    <n v="15"/>
    <x v="3"/>
  </r>
  <r>
    <x v="0"/>
    <x v="4"/>
    <s v="Smartwatch"/>
    <x v="4"/>
    <x v="1"/>
    <n v="150"/>
    <n v="15"/>
    <x v="4"/>
  </r>
  <r>
    <x v="3"/>
    <x v="5"/>
    <s v="Sunglasses"/>
    <x v="5"/>
    <x v="2"/>
    <n v="150"/>
    <n v="15"/>
    <x v="4"/>
  </r>
  <r>
    <x v="2"/>
    <x v="6"/>
    <s v="Coffee Maker"/>
    <x v="6"/>
    <x v="0"/>
    <n v="130"/>
    <n v="40"/>
    <x v="5"/>
  </r>
  <r>
    <x v="0"/>
    <x v="7"/>
    <s v="Dress"/>
    <x v="7"/>
    <x v="2"/>
    <n v="60"/>
    <n v="30"/>
    <x v="6"/>
  </r>
  <r>
    <x v="2"/>
    <x v="8"/>
    <s v="Smartphone"/>
    <x v="8"/>
    <x v="1"/>
    <n v="900"/>
    <n v="25"/>
    <x v="7"/>
  </r>
  <r>
    <x v="0"/>
    <x v="9"/>
    <s v="Toaster"/>
    <x v="9"/>
    <x v="0"/>
    <n v="40"/>
    <n v="10"/>
    <x v="8"/>
  </r>
  <r>
    <x v="4"/>
    <x v="10"/>
    <s v="Headphones"/>
    <x v="10"/>
    <x v="1"/>
    <n v="250"/>
    <n v="20"/>
    <x v="9"/>
  </r>
  <r>
    <x v="4"/>
    <x v="10"/>
    <s v="Headphones"/>
    <x v="10"/>
    <x v="1"/>
    <n v="230"/>
    <n v="20"/>
    <x v="10"/>
  </r>
  <r>
    <x v="5"/>
    <x v="11"/>
    <s v="Camera"/>
    <x v="11"/>
    <x v="1"/>
    <n v="700"/>
    <n v="50"/>
    <x v="11"/>
  </r>
  <r>
    <x v="2"/>
    <x v="12"/>
    <s v="Backpack"/>
    <x v="12"/>
    <x v="3"/>
    <n v="70"/>
    <n v="20"/>
    <x v="12"/>
  </r>
  <r>
    <x v="0"/>
    <x v="13"/>
    <s v="Fitness Tracker"/>
    <x v="13"/>
    <x v="1"/>
    <n v="130"/>
    <n v="5"/>
    <x v="13"/>
  </r>
  <r>
    <x v="0"/>
    <x v="14"/>
    <s v="Sunglasses"/>
    <x v="14"/>
    <x v="2"/>
    <n v="130"/>
    <n v="25"/>
    <x v="14"/>
  </r>
  <r>
    <x v="3"/>
    <x v="15"/>
    <s v="Headphones"/>
    <x v="15"/>
    <x v="1"/>
    <n v="200"/>
    <n v="45"/>
    <x v="15"/>
  </r>
  <r>
    <x v="6"/>
    <x v="16"/>
    <s v="Laptop"/>
    <x v="16"/>
    <x v="1"/>
    <n v="950"/>
    <n v="25"/>
    <x v="16"/>
  </r>
  <r>
    <x v="6"/>
    <x v="16"/>
    <s v="Laptop"/>
    <x v="16"/>
    <x v="1"/>
    <n v="950"/>
    <n v="25"/>
    <x v="16"/>
  </r>
  <r>
    <x v="7"/>
    <x v="17"/>
    <s v="Watch"/>
    <x v="17"/>
    <x v="4"/>
    <n v="100"/>
    <n v="20"/>
    <x v="17"/>
  </r>
  <r>
    <x v="0"/>
    <x v="18"/>
    <s v="Blender"/>
    <x v="18"/>
    <x v="0"/>
    <n v="400"/>
    <n v="40"/>
    <x v="18"/>
  </r>
  <r>
    <x v="3"/>
    <x v="19"/>
    <s v="T-shirt"/>
    <x v="19"/>
    <x v="2"/>
    <n v="30"/>
    <n v="5"/>
    <x v="19"/>
  </r>
  <r>
    <x v="8"/>
    <x v="19"/>
    <s v="Fitness Tracker"/>
    <x v="20"/>
    <x v="1"/>
    <n v="150"/>
    <n v="30"/>
    <x v="20"/>
  </r>
  <r>
    <x v="2"/>
    <x v="20"/>
    <s v="Camping Tent"/>
    <x v="21"/>
    <x v="3"/>
    <n v="200"/>
    <n v="10"/>
    <x v="17"/>
  </r>
  <r>
    <x v="9"/>
    <x v="21"/>
    <s v="Smartwatch"/>
    <x v="22"/>
    <x v="1"/>
    <n v="160"/>
    <n v="15"/>
    <x v="21"/>
  </r>
  <r>
    <x v="0"/>
    <x v="22"/>
    <s v="Laptop Bag"/>
    <x v="23"/>
    <x v="4"/>
    <n v="50"/>
    <n v="35"/>
    <x v="22"/>
  </r>
  <r>
    <x v="0"/>
    <x v="22"/>
    <s v="Laptop Bag"/>
    <x v="23"/>
    <x v="4"/>
    <n v="50"/>
    <n v="35"/>
    <x v="22"/>
  </r>
  <r>
    <x v="3"/>
    <x v="23"/>
    <s v="Blender"/>
    <x v="24"/>
    <x v="0"/>
    <n v="90"/>
    <n v="35"/>
    <x v="23"/>
  </r>
  <r>
    <x v="3"/>
    <x v="24"/>
    <s v="Tablet"/>
    <x v="25"/>
    <x v="1"/>
    <n v="500"/>
    <n v="50"/>
    <x v="24"/>
  </r>
  <r>
    <x v="0"/>
    <x v="25"/>
    <s v="Smartphone"/>
    <x v="26"/>
    <x v="1"/>
    <n v="800"/>
    <n v="45"/>
    <x v="25"/>
  </r>
  <r>
    <x v="3"/>
    <x v="26"/>
    <s v="Hiking Boots"/>
    <x v="27"/>
    <x v="3"/>
    <n v="130"/>
    <n v="10"/>
    <x v="26"/>
  </r>
  <r>
    <x v="10"/>
    <x v="27"/>
    <s v="Sneakers"/>
    <x v="19"/>
    <x v="2"/>
    <n v="90"/>
    <n v="40"/>
    <x v="27"/>
  </r>
  <r>
    <x v="0"/>
    <x v="28"/>
    <s v="Jeans"/>
    <x v="28"/>
    <x v="2"/>
    <n v="50"/>
    <n v="50"/>
    <x v="28"/>
  </r>
  <r>
    <x v="11"/>
    <x v="29"/>
    <s v="Coffee Maker"/>
    <x v="29"/>
    <x v="0"/>
    <n v="120"/>
    <n v="35"/>
    <x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347216-BCDA-4275-9CFB-DAD4CC5B6A9D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6">
  <location ref="A41:B72" firstHeaderRow="1" firstDataRow="1" firstDataCol="1"/>
  <pivotFields count="10">
    <pivotField showAll="0"/>
    <pivotField numFmtId="14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axis="axisRow" showAll="0" sortType="descending">
      <items count="31">
        <item x="19"/>
        <item x="25"/>
        <item x="1"/>
        <item x="10"/>
        <item x="17"/>
        <item x="21"/>
        <item x="2"/>
        <item x="4"/>
        <item x="13"/>
        <item x="26"/>
        <item x="9"/>
        <item x="16"/>
        <item x="22"/>
        <item x="6"/>
        <item x="28"/>
        <item x="29"/>
        <item x="3"/>
        <item x="11"/>
        <item x="24"/>
        <item x="12"/>
        <item x="5"/>
        <item x="0"/>
        <item x="14"/>
        <item x="23"/>
        <item x="8"/>
        <item x="15"/>
        <item x="27"/>
        <item x="18"/>
        <item x="20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6">
        <item x="4"/>
        <item x="1"/>
        <item x="2"/>
        <item x="0"/>
        <item x="3"/>
        <item t="default"/>
      </items>
    </pivotField>
    <pivotField showAll="0"/>
    <pivotField showAll="0"/>
    <pivotField dataField="1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31">
    <i>
      <x v="11"/>
    </i>
    <i>
      <x v="9"/>
    </i>
    <i>
      <x v="17"/>
    </i>
    <i>
      <x v="6"/>
    </i>
    <i>
      <x v="1"/>
    </i>
    <i>
      <x v="24"/>
    </i>
    <i>
      <x v="27"/>
    </i>
    <i>
      <x v="2"/>
    </i>
    <i>
      <x v="3"/>
    </i>
    <i>
      <x v="25"/>
    </i>
    <i>
      <x v="13"/>
    </i>
    <i>
      <x v="28"/>
    </i>
    <i>
      <x v="15"/>
    </i>
    <i>
      <x/>
    </i>
    <i>
      <x v="23"/>
    </i>
    <i>
      <x v="22"/>
    </i>
    <i>
      <x v="18"/>
    </i>
    <i>
      <x v="14"/>
    </i>
    <i>
      <x v="12"/>
    </i>
    <i>
      <x v="20"/>
    </i>
    <i>
      <x v="7"/>
    </i>
    <i>
      <x v="4"/>
    </i>
    <i>
      <x v="5"/>
    </i>
    <i>
      <x v="29"/>
    </i>
    <i>
      <x v="21"/>
    </i>
    <i>
      <x v="19"/>
    </i>
    <i>
      <x v="26"/>
    </i>
    <i>
      <x v="16"/>
    </i>
    <i>
      <x v="8"/>
    </i>
    <i>
      <x v="10"/>
    </i>
    <i t="grand">
      <x/>
    </i>
  </rowItems>
  <colItems count="1">
    <i/>
  </colItems>
  <dataFields count="1">
    <dataField name="Sum of Total" fld="7" baseField="0" baseItem="0"/>
  </dataFields>
  <chartFormats count="3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9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89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89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7"/>
          </reference>
        </references>
      </pivotArea>
    </chartFormat>
    <chartFormat chart="89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89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89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24"/>
          </reference>
        </references>
      </pivotArea>
    </chartFormat>
    <chartFormat chart="89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27"/>
          </reference>
        </references>
      </pivotArea>
    </chartFormat>
    <chartFormat chart="89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89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89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25"/>
          </reference>
        </references>
      </pivotArea>
    </chartFormat>
    <chartFormat chart="89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89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28"/>
          </reference>
        </references>
      </pivotArea>
    </chartFormat>
    <chartFormat chart="89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89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9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23"/>
          </reference>
        </references>
      </pivotArea>
    </chartFormat>
    <chartFormat chart="89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22"/>
          </reference>
        </references>
      </pivotArea>
    </chartFormat>
    <chartFormat chart="89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89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89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89" format="20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  <chartFormat chart="89" format="2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89" format="22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89" format="23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89" format="24">
      <pivotArea type="data" outline="0" fieldPosition="0">
        <references count="2">
          <reference field="4294967294" count="1" selected="0">
            <x v="0"/>
          </reference>
          <reference field="3" count="1" selected="0">
            <x v="29"/>
          </reference>
        </references>
      </pivotArea>
    </chartFormat>
    <chartFormat chart="89" format="25">
      <pivotArea type="data" outline="0" fieldPosition="0">
        <references count="2">
          <reference field="4294967294" count="1" selected="0">
            <x v="0"/>
          </reference>
          <reference field="3" count="1" selected="0">
            <x v="21"/>
          </reference>
        </references>
      </pivotArea>
    </chartFormat>
    <chartFormat chart="89" format="26">
      <pivotArea type="data" outline="0" fieldPosition="0">
        <references count="2">
          <reference field="4294967294" count="1" selected="0">
            <x v="0"/>
          </reference>
          <reference field="3" count="1" selected="0">
            <x v="19"/>
          </reference>
        </references>
      </pivotArea>
    </chartFormat>
    <chartFormat chart="89" format="27">
      <pivotArea type="data" outline="0" fieldPosition="0">
        <references count="2">
          <reference field="4294967294" count="1" selected="0">
            <x v="0"/>
          </reference>
          <reference field="3" count="1" selected="0">
            <x v="26"/>
          </reference>
        </references>
      </pivotArea>
    </chartFormat>
    <chartFormat chart="89" format="28">
      <pivotArea type="data" outline="0" fieldPosition="0">
        <references count="2">
          <reference field="4294967294" count="1" selected="0">
            <x v="0"/>
          </reference>
          <reference field="3" count="1" selected="0">
            <x v="16"/>
          </reference>
        </references>
      </pivotArea>
    </chartFormat>
    <chartFormat chart="89" format="29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89" format="30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A83DD4-FC1B-4CC8-98AD-BC3B8C9EAFA8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5">
  <location ref="A18:B31" firstHeaderRow="1" firstDataRow="1" firstDataCol="1"/>
  <pivotFields count="10">
    <pivotField showAll="0"/>
    <pivotField numFmtId="14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showAll="0"/>
    <pivotField showAll="0">
      <items count="6">
        <item x="4"/>
        <item x="1"/>
        <item x="2"/>
        <item x="0"/>
        <item x="3"/>
        <item t="default"/>
      </items>
    </pivotField>
    <pivotField showAll="0"/>
    <pivotField showAll="0"/>
    <pivotField dataField="1" showAll="0">
      <items count="31">
        <item x="19"/>
        <item x="8"/>
        <item x="13"/>
        <item x="3"/>
        <item x="26"/>
        <item x="12"/>
        <item x="0"/>
        <item x="22"/>
        <item x="6"/>
        <item x="17"/>
        <item x="4"/>
        <item x="21"/>
        <item x="28"/>
        <item x="23"/>
        <item x="14"/>
        <item x="27"/>
        <item x="29"/>
        <item x="20"/>
        <item x="10"/>
        <item x="9"/>
        <item x="5"/>
        <item x="15"/>
        <item x="1"/>
        <item x="18"/>
        <item x="7"/>
        <item x="16"/>
        <item x="24"/>
        <item x="2"/>
        <item x="11"/>
        <item x="25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9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" fld="7" baseField="0" baseItem="0"/>
  </dataFields>
  <chartFormats count="39">
    <chartFormat chart="3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7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37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9"/>
          </reference>
        </references>
      </pivotArea>
    </chartFormat>
    <chartFormat chart="37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7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37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37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7"/>
          </reference>
        </references>
      </pivotArea>
    </chartFormat>
    <chartFormat chart="37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37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37" format="9">
      <pivotArea type="data" outline="0" fieldPosition="0">
        <references count="2">
          <reference field="4294967294" count="1" selected="0">
            <x v="0"/>
          </reference>
          <reference field="9" count="1" selected="0">
            <x v="8"/>
          </reference>
        </references>
      </pivotArea>
    </chartFormat>
    <chartFormat chart="37" format="10">
      <pivotArea type="data" outline="0" fieldPosition="0">
        <references count="2">
          <reference field="4294967294" count="1" selected="0">
            <x v="0"/>
          </reference>
          <reference field="9" count="1" selected="0">
            <x v="10"/>
          </reference>
        </references>
      </pivotArea>
    </chartFormat>
    <chartFormat chart="37" format="11">
      <pivotArea type="data" outline="0" fieldPosition="0">
        <references count="2">
          <reference field="4294967294" count="1" selected="0">
            <x v="0"/>
          </reference>
          <reference field="9" count="1" selected="0">
            <x v="11"/>
          </reference>
        </references>
      </pivotArea>
    </chartFormat>
    <chartFormat chart="37" format="12">
      <pivotArea type="data" outline="0" fieldPosition="0">
        <references count="2">
          <reference field="4294967294" count="1" selected="0">
            <x v="0"/>
          </reference>
          <reference field="9" count="1" selected="0">
            <x v="12"/>
          </reference>
        </references>
      </pivotArea>
    </chartFormat>
    <chartFormat chart="41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1" format="14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41" format="15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41" format="16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41" format="17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41" format="18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41" format="19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41" format="20">
      <pivotArea type="data" outline="0" fieldPosition="0">
        <references count="2">
          <reference field="4294967294" count="1" selected="0">
            <x v="0"/>
          </reference>
          <reference field="9" count="1" selected="0">
            <x v="7"/>
          </reference>
        </references>
      </pivotArea>
    </chartFormat>
    <chartFormat chart="41" format="21">
      <pivotArea type="data" outline="0" fieldPosition="0">
        <references count="2">
          <reference field="4294967294" count="1" selected="0">
            <x v="0"/>
          </reference>
          <reference field="9" count="1" selected="0">
            <x v="8"/>
          </reference>
        </references>
      </pivotArea>
    </chartFormat>
    <chartFormat chart="41" format="22">
      <pivotArea type="data" outline="0" fieldPosition="0">
        <references count="2">
          <reference field="4294967294" count="1" selected="0">
            <x v="0"/>
          </reference>
          <reference field="9" count="1" selected="0">
            <x v="9"/>
          </reference>
        </references>
      </pivotArea>
    </chartFormat>
    <chartFormat chart="41" format="23">
      <pivotArea type="data" outline="0" fieldPosition="0">
        <references count="2">
          <reference field="4294967294" count="1" selected="0">
            <x v="0"/>
          </reference>
          <reference field="9" count="1" selected="0">
            <x v="10"/>
          </reference>
        </references>
      </pivotArea>
    </chartFormat>
    <chartFormat chart="41" format="24">
      <pivotArea type="data" outline="0" fieldPosition="0">
        <references count="2">
          <reference field="4294967294" count="1" selected="0">
            <x v="0"/>
          </reference>
          <reference field="9" count="1" selected="0">
            <x v="11"/>
          </reference>
        </references>
      </pivotArea>
    </chartFormat>
    <chartFormat chart="41" format="25">
      <pivotArea type="data" outline="0" fieldPosition="0">
        <references count="2">
          <reference field="4294967294" count="1" selected="0">
            <x v="0"/>
          </reference>
          <reference field="9" count="1" selected="0">
            <x v="12"/>
          </reference>
        </references>
      </pivotArea>
    </chartFormat>
    <chartFormat chart="42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27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42" format="28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42" format="29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42" format="30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42" format="31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42" format="32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42" format="33">
      <pivotArea type="data" outline="0" fieldPosition="0">
        <references count="2">
          <reference field="4294967294" count="1" selected="0">
            <x v="0"/>
          </reference>
          <reference field="9" count="1" selected="0">
            <x v="7"/>
          </reference>
        </references>
      </pivotArea>
    </chartFormat>
    <chartFormat chart="42" format="34">
      <pivotArea type="data" outline="0" fieldPosition="0">
        <references count="2">
          <reference field="4294967294" count="1" selected="0">
            <x v="0"/>
          </reference>
          <reference field="9" count="1" selected="0">
            <x v="8"/>
          </reference>
        </references>
      </pivotArea>
    </chartFormat>
    <chartFormat chart="42" format="35">
      <pivotArea type="data" outline="0" fieldPosition="0">
        <references count="2">
          <reference field="4294967294" count="1" selected="0">
            <x v="0"/>
          </reference>
          <reference field="9" count="1" selected="0">
            <x v="9"/>
          </reference>
        </references>
      </pivotArea>
    </chartFormat>
    <chartFormat chart="42" format="36">
      <pivotArea type="data" outline="0" fieldPosition="0">
        <references count="2">
          <reference field="4294967294" count="1" selected="0">
            <x v="0"/>
          </reference>
          <reference field="9" count="1" selected="0">
            <x v="10"/>
          </reference>
        </references>
      </pivotArea>
    </chartFormat>
    <chartFormat chart="42" format="37">
      <pivotArea type="data" outline="0" fieldPosition="0">
        <references count="2">
          <reference field="4294967294" count="1" selected="0">
            <x v="0"/>
          </reference>
          <reference field="9" count="1" selected="0">
            <x v="11"/>
          </reference>
        </references>
      </pivotArea>
    </chartFormat>
    <chartFormat chart="42" format="38">
      <pivotArea type="data" outline="0" fieldPosition="0">
        <references count="2">
          <reference field="4294967294" count="1" selected="0">
            <x v="0"/>
          </reference>
          <reference field="9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D93930-B026-4F23-8A42-BD6CB3E1150E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8">
  <location ref="A3:B16" firstHeaderRow="1" firstDataRow="1" firstDataCol="1"/>
  <pivotFields count="10">
    <pivotField axis="axisRow" showAll="0" sortType="descending">
      <items count="13">
        <item x="10"/>
        <item x="8"/>
        <item x="0"/>
        <item x="9"/>
        <item x="11"/>
        <item x="4"/>
        <item x="7"/>
        <item x="6"/>
        <item x="1"/>
        <item x="5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0"/>
  </rowFields>
  <rowItems count="13">
    <i>
      <x v="2"/>
    </i>
    <i>
      <x v="11"/>
    </i>
    <i>
      <x v="7"/>
    </i>
    <i>
      <x v="10"/>
    </i>
    <i>
      <x v="9"/>
    </i>
    <i>
      <x v="8"/>
    </i>
    <i>
      <x v="5"/>
    </i>
    <i>
      <x v="1"/>
    </i>
    <i>
      <x v="4"/>
    </i>
    <i>
      <x/>
    </i>
    <i>
      <x v="3"/>
    </i>
    <i>
      <x v="6"/>
    </i>
    <i t="grand">
      <x/>
    </i>
  </rowItems>
  <colItems count="1">
    <i/>
  </colItems>
  <dataFields count="1">
    <dataField name="Sum of Total" fld="7" baseField="0" baseItem="0"/>
  </dataFields>
  <chartFormats count="13">
    <chartFormat chart="45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5" format="26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5" format="27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45" format="28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45" format="29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45" format="30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45" format="3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45" format="32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5" format="3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5" format="34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5" format="3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5" format="36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5" format="37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C15D44-82E7-4971-95DA-B3F02AA1F52E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A33:B39" firstHeaderRow="1" firstDataRow="1" firstDataCol="1"/>
  <pivotFields count="10">
    <pivotField showAll="0">
      <items count="13">
        <item x="10"/>
        <item x="8"/>
        <item x="0"/>
        <item x="9"/>
        <item x="11"/>
        <item x="4"/>
        <item x="7"/>
        <item x="6"/>
        <item x="1"/>
        <item x="5"/>
        <item x="3"/>
        <item x="2"/>
        <item t="default"/>
      </items>
    </pivotField>
    <pivotField numFmtId="14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showAll="0"/>
    <pivotField axis="axisRow" showAll="0">
      <items count="6">
        <item x="4"/>
        <item x="1"/>
        <item x="2"/>
        <item x="0"/>
        <item x="3"/>
        <item t="default"/>
      </items>
    </pivotField>
    <pivotField showAll="0"/>
    <pivotField showAll="0"/>
    <pivotField dataField="1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" fld="7" baseField="0" baseItem="0"/>
  </dataFields>
  <chartFormats count="30"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5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5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5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5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12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2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2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2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18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9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8" format="20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8" format="2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8" format="22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8" format="23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21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2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1" format="26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1" format="27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1" format="28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1" format="29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22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3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2" format="3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2" format="3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2" format="3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2" format="35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C32CD3-F80F-4B2B-9D2F-76C629F2CE32}" name="Sales" displayName="Sales" ref="A1:H35" totalsRowShown="0" headerRowDxfId="9" dataDxfId="8">
  <autoFilter ref="A1:H35" xr:uid="{ADC32CD3-F80F-4B2B-9D2F-76C629F2CE32}"/>
  <sortState xmlns:xlrd2="http://schemas.microsoft.com/office/spreadsheetml/2017/richdata2" ref="A2:H35">
    <sortCondition ref="B1:B35"/>
  </sortState>
  <tableColumns count="8">
    <tableColumn id="13" xr3:uid="{D077A65C-6A9F-4B19-8E7B-D375C2CD9368}" name="Country Code" dataDxfId="7"/>
    <tableColumn id="14" xr3:uid="{741A28C4-3360-48FD-8640-0CAAC1CEA325}" name="Date of Purchase" dataDxfId="6"/>
    <tableColumn id="2" xr3:uid="{377D7C8C-D7F1-4B34-ACAC-23363F4E0417}" name="Product Name" dataDxfId="5"/>
    <tableColumn id="3" xr3:uid="{FA9B7609-3471-4777-ABDC-88610224CB1B}" name="Brand Name" dataDxfId="4"/>
    <tableColumn id="12" xr3:uid="{4BC2CDEF-93AE-4B93-BAC3-360551287C73}" name="Category" dataDxfId="3"/>
    <tableColumn id="4" xr3:uid="{94017CD0-3668-4E68-9526-C64C2248E522}" name="Price ($)" dataDxfId="2"/>
    <tableColumn id="5" xr3:uid="{1C5479D6-BCA6-437F-9439-5B6B878C9F05}" name="Quantity" dataDxfId="1"/>
    <tableColumn id="15" xr3:uid="{E0BDFE4C-A19B-4F63-9BD8-4EE2A4E39D48}" name="Total" dataDxfId="0">
      <calculatedColumnFormula>Sales[[#This Row],[Price ($)]]*Sales[[#This Row],[Quantity]]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E2957-D403-4B2B-90B1-7BED172E3F0E}">
  <dimension ref="A1:J1000"/>
  <sheetViews>
    <sheetView topLeftCell="A2" workbookViewId="0">
      <selection sqref="A1:H35"/>
    </sheetView>
  </sheetViews>
  <sheetFormatPr defaultColWidth="12.6640625" defaultRowHeight="14.4" x14ac:dyDescent="0.3"/>
  <cols>
    <col min="2" max="2" width="15.33203125" customWidth="1"/>
    <col min="3" max="3" width="13.6640625" customWidth="1"/>
    <col min="6" max="7" width="16" bestFit="1" customWidth="1"/>
    <col min="10" max="10" width="13.109375" style="4" bestFit="1" customWidth="1"/>
  </cols>
  <sheetData>
    <row r="1" spans="1:10" ht="15.75" customHeight="1" x14ac:dyDescent="0.3">
      <c r="A1" s="2" t="s">
        <v>5</v>
      </c>
      <c r="B1" s="3" t="s">
        <v>74</v>
      </c>
      <c r="C1" s="1" t="s">
        <v>0</v>
      </c>
      <c r="D1" s="1" t="s">
        <v>1</v>
      </c>
      <c r="E1" s="1" t="s">
        <v>4</v>
      </c>
      <c r="F1" s="1" t="s">
        <v>2</v>
      </c>
      <c r="G1" s="1" t="s">
        <v>3</v>
      </c>
      <c r="H1" s="2" t="s">
        <v>75</v>
      </c>
      <c r="J1"/>
    </row>
    <row r="2" spans="1:10" ht="15.75" customHeight="1" x14ac:dyDescent="0.3">
      <c r="A2" s="5" t="s">
        <v>67</v>
      </c>
      <c r="B2" s="6">
        <v>45666</v>
      </c>
      <c r="C2" s="7" t="s">
        <v>46</v>
      </c>
      <c r="D2" s="7" t="s">
        <v>47</v>
      </c>
      <c r="E2" s="7" t="s">
        <v>14</v>
      </c>
      <c r="F2" s="7">
        <v>80</v>
      </c>
      <c r="G2" s="7">
        <v>20</v>
      </c>
      <c r="H2" s="8">
        <f>Sales[[#This Row],[Price ($)]]*Sales[[#This Row],[Quantity]]</f>
        <v>1600</v>
      </c>
      <c r="J2"/>
    </row>
    <row r="3" spans="1:10" ht="15.75" customHeight="1" x14ac:dyDescent="0.3">
      <c r="A3" s="5" t="s">
        <v>70</v>
      </c>
      <c r="B3" s="6">
        <v>45684</v>
      </c>
      <c r="C3" s="7" t="s">
        <v>6</v>
      </c>
      <c r="D3" s="7" t="s">
        <v>39</v>
      </c>
      <c r="E3" s="7" t="s">
        <v>8</v>
      </c>
      <c r="F3" s="7">
        <v>980</v>
      </c>
      <c r="G3" s="7">
        <v>10</v>
      </c>
      <c r="H3" s="8">
        <f>Sales[[#This Row],[Price ($)]]*Sales[[#This Row],[Quantity]]</f>
        <v>9800</v>
      </c>
      <c r="J3"/>
    </row>
    <row r="4" spans="1:10" ht="15.75" customHeight="1" x14ac:dyDescent="0.3">
      <c r="A4" s="9" t="s">
        <v>62</v>
      </c>
      <c r="B4" s="6">
        <v>45685</v>
      </c>
      <c r="C4" s="10" t="s">
        <v>6</v>
      </c>
      <c r="D4" s="10" t="s">
        <v>7</v>
      </c>
      <c r="E4" s="10" t="s">
        <v>8</v>
      </c>
      <c r="F4" s="10">
        <v>1000</v>
      </c>
      <c r="G4" s="10">
        <v>30</v>
      </c>
      <c r="H4" s="8">
        <f>Sales[[#This Row],[Price ($)]]*Sales[[#This Row],[Quantity]]</f>
        <v>30000</v>
      </c>
      <c r="J4"/>
    </row>
    <row r="5" spans="1:10" ht="15.75" customHeight="1" x14ac:dyDescent="0.3">
      <c r="A5" s="5" t="s">
        <v>62</v>
      </c>
      <c r="B5" s="6">
        <v>45703</v>
      </c>
      <c r="C5" s="7" t="s">
        <v>9</v>
      </c>
      <c r="D5" s="7" t="s">
        <v>10</v>
      </c>
      <c r="E5" s="7" t="s">
        <v>11</v>
      </c>
      <c r="F5" s="7">
        <v>80</v>
      </c>
      <c r="G5" s="7">
        <v>15</v>
      </c>
      <c r="H5" s="8">
        <f>Sales[[#This Row],[Price ($)]]*Sales[[#This Row],[Quantity]]</f>
        <v>1200</v>
      </c>
      <c r="J5"/>
    </row>
    <row r="6" spans="1:10" ht="15.75" customHeight="1" x14ac:dyDescent="0.3">
      <c r="A6" s="5" t="s">
        <v>67</v>
      </c>
      <c r="B6" s="6">
        <v>45706</v>
      </c>
      <c r="C6" s="7" t="s">
        <v>32</v>
      </c>
      <c r="D6" s="7" t="s">
        <v>33</v>
      </c>
      <c r="E6" s="7" t="s">
        <v>8</v>
      </c>
      <c r="F6" s="7">
        <v>150</v>
      </c>
      <c r="G6" s="7">
        <v>15</v>
      </c>
      <c r="H6" s="8">
        <f>Sales[[#This Row],[Price ($)]]*Sales[[#This Row],[Quantity]]</f>
        <v>2250</v>
      </c>
      <c r="J6"/>
    </row>
    <row r="7" spans="1:10" ht="15.75" customHeight="1" x14ac:dyDescent="0.3">
      <c r="A7" s="9" t="s">
        <v>63</v>
      </c>
      <c r="B7" s="6">
        <v>45717</v>
      </c>
      <c r="C7" s="10" t="s">
        <v>40</v>
      </c>
      <c r="D7" s="10" t="s">
        <v>41</v>
      </c>
      <c r="E7" s="10" t="s">
        <v>11</v>
      </c>
      <c r="F7" s="10">
        <v>150</v>
      </c>
      <c r="G7" s="10">
        <v>15</v>
      </c>
      <c r="H7" s="8">
        <f>Sales[[#This Row],[Price ($)]]*Sales[[#This Row],[Quantity]]</f>
        <v>2250</v>
      </c>
      <c r="J7"/>
    </row>
    <row r="8" spans="1:10" ht="15.75" customHeight="1" x14ac:dyDescent="0.3">
      <c r="A8" s="9" t="s">
        <v>62</v>
      </c>
      <c r="B8" s="6">
        <v>45719</v>
      </c>
      <c r="C8" s="10" t="s">
        <v>12</v>
      </c>
      <c r="D8" s="10" t="s">
        <v>13</v>
      </c>
      <c r="E8" s="10" t="s">
        <v>14</v>
      </c>
      <c r="F8" s="10">
        <v>130</v>
      </c>
      <c r="G8" s="10">
        <v>40</v>
      </c>
      <c r="H8" s="8">
        <f>Sales[[#This Row],[Price ($)]]*Sales[[#This Row],[Quantity]]</f>
        <v>5200</v>
      </c>
      <c r="J8"/>
    </row>
    <row r="9" spans="1:10" ht="15.75" customHeight="1" x14ac:dyDescent="0.3">
      <c r="A9" s="9" t="s">
        <v>67</v>
      </c>
      <c r="B9" s="6">
        <v>45723</v>
      </c>
      <c r="C9" s="10" t="s">
        <v>53</v>
      </c>
      <c r="D9" s="10" t="s">
        <v>54</v>
      </c>
      <c r="E9" s="10" t="s">
        <v>11</v>
      </c>
      <c r="F9" s="10">
        <v>60</v>
      </c>
      <c r="G9" s="10">
        <v>30</v>
      </c>
      <c r="H9" s="8">
        <f>Sales[[#This Row],[Price ($)]]*Sales[[#This Row],[Quantity]]</f>
        <v>1800</v>
      </c>
      <c r="J9"/>
    </row>
    <row r="10" spans="1:10" ht="15.75" customHeight="1" x14ac:dyDescent="0.3">
      <c r="A10" s="5" t="s">
        <v>62</v>
      </c>
      <c r="B10" s="6">
        <v>45758</v>
      </c>
      <c r="C10" s="7" t="s">
        <v>15</v>
      </c>
      <c r="D10" s="7" t="s">
        <v>16</v>
      </c>
      <c r="E10" s="7" t="s">
        <v>8</v>
      </c>
      <c r="F10" s="7">
        <v>900</v>
      </c>
      <c r="G10" s="7">
        <v>25</v>
      </c>
      <c r="H10" s="8">
        <f>Sales[[#This Row],[Price ($)]]*Sales[[#This Row],[Quantity]]</f>
        <v>22500</v>
      </c>
      <c r="J10"/>
    </row>
    <row r="11" spans="1:10" ht="15.75" customHeight="1" x14ac:dyDescent="0.3">
      <c r="A11" s="5" t="s">
        <v>67</v>
      </c>
      <c r="B11" s="6">
        <v>45760</v>
      </c>
      <c r="C11" s="7" t="s">
        <v>55</v>
      </c>
      <c r="D11" s="7" t="s">
        <v>56</v>
      </c>
      <c r="E11" s="7" t="s">
        <v>14</v>
      </c>
      <c r="F11" s="7">
        <v>40</v>
      </c>
      <c r="G11" s="7">
        <v>10</v>
      </c>
      <c r="H11" s="8">
        <f>Sales[[#This Row],[Price ($)]]*Sales[[#This Row],[Quantity]]</f>
        <v>400</v>
      </c>
      <c r="J11"/>
    </row>
    <row r="12" spans="1:10" ht="15.75" customHeight="1" x14ac:dyDescent="0.3">
      <c r="A12" s="9" t="s">
        <v>68</v>
      </c>
      <c r="B12" s="6">
        <v>45763</v>
      </c>
      <c r="C12" s="10" t="s">
        <v>20</v>
      </c>
      <c r="D12" s="10" t="s">
        <v>34</v>
      </c>
      <c r="E12" s="10" t="s">
        <v>8</v>
      </c>
      <c r="F12" s="10">
        <v>250</v>
      </c>
      <c r="G12" s="10">
        <v>20</v>
      </c>
      <c r="H12" s="8">
        <f>Sales[[#This Row],[Price ($)]]*Sales[[#This Row],[Quantity]]</f>
        <v>5000</v>
      </c>
      <c r="J12"/>
    </row>
    <row r="13" spans="1:10" ht="15.75" customHeight="1" x14ac:dyDescent="0.3">
      <c r="A13" s="5" t="s">
        <v>68</v>
      </c>
      <c r="B13" s="6">
        <v>45763</v>
      </c>
      <c r="C13" s="7" t="s">
        <v>20</v>
      </c>
      <c r="D13" s="7" t="s">
        <v>34</v>
      </c>
      <c r="E13" s="7" t="s">
        <v>8</v>
      </c>
      <c r="F13" s="7">
        <v>250</v>
      </c>
      <c r="G13" s="7">
        <v>20</v>
      </c>
      <c r="H13" s="8">
        <f>Sales[[#This Row],[Price ($)]]*Sales[[#This Row],[Quantity]]</f>
        <v>5000</v>
      </c>
      <c r="J13"/>
    </row>
    <row r="14" spans="1:10" ht="15.75" customHeight="1" x14ac:dyDescent="0.3">
      <c r="A14" s="9" t="s">
        <v>71</v>
      </c>
      <c r="B14" s="6">
        <v>45791</v>
      </c>
      <c r="C14" s="10" t="s">
        <v>44</v>
      </c>
      <c r="D14" s="10" t="s">
        <v>45</v>
      </c>
      <c r="E14" s="10" t="s">
        <v>8</v>
      </c>
      <c r="F14" s="10">
        <v>700</v>
      </c>
      <c r="G14" s="10">
        <v>50</v>
      </c>
      <c r="H14" s="8">
        <f>Sales[[#This Row],[Price ($)]]*Sales[[#This Row],[Quantity]]</f>
        <v>35000</v>
      </c>
      <c r="J14"/>
    </row>
    <row r="15" spans="1:10" ht="15.75" customHeight="1" x14ac:dyDescent="0.3">
      <c r="A15" s="9" t="s">
        <v>62</v>
      </c>
      <c r="B15" s="6">
        <v>45799</v>
      </c>
      <c r="C15" s="10" t="s">
        <v>17</v>
      </c>
      <c r="D15" s="10" t="s">
        <v>18</v>
      </c>
      <c r="E15" s="10" t="s">
        <v>19</v>
      </c>
      <c r="F15" s="10">
        <v>70</v>
      </c>
      <c r="G15" s="10">
        <v>20</v>
      </c>
      <c r="H15" s="8">
        <f>Sales[[#This Row],[Price ($)]]*Sales[[#This Row],[Quantity]]</f>
        <v>1400</v>
      </c>
      <c r="J15"/>
    </row>
    <row r="16" spans="1:10" ht="15.75" customHeight="1" x14ac:dyDescent="0.3">
      <c r="A16" s="9" t="s">
        <v>67</v>
      </c>
      <c r="B16" s="6">
        <v>45801</v>
      </c>
      <c r="C16" s="10" t="s">
        <v>48</v>
      </c>
      <c r="D16" s="10" t="s">
        <v>57</v>
      </c>
      <c r="E16" s="10" t="s">
        <v>8</v>
      </c>
      <c r="F16" s="10">
        <v>130</v>
      </c>
      <c r="G16" s="10">
        <v>5</v>
      </c>
      <c r="H16" s="8">
        <f>Sales[[#This Row],[Price ($)]]*Sales[[#This Row],[Quantity]]</f>
        <v>650</v>
      </c>
      <c r="J16"/>
    </row>
    <row r="17" spans="1:10" ht="15.75" customHeight="1" x14ac:dyDescent="0.3">
      <c r="A17" s="5" t="s">
        <v>67</v>
      </c>
      <c r="B17" s="6">
        <v>45811</v>
      </c>
      <c r="C17" s="7" t="s">
        <v>40</v>
      </c>
      <c r="D17" s="7" t="s">
        <v>51</v>
      </c>
      <c r="E17" s="7" t="s">
        <v>11</v>
      </c>
      <c r="F17" s="7">
        <v>130</v>
      </c>
      <c r="G17" s="7">
        <v>25</v>
      </c>
      <c r="H17" s="8">
        <f>Sales[[#This Row],[Price ($)]]*Sales[[#This Row],[Quantity]]</f>
        <v>3250</v>
      </c>
      <c r="J17"/>
    </row>
    <row r="18" spans="1:10" ht="15.75" customHeight="1" x14ac:dyDescent="0.3">
      <c r="A18" s="5" t="s">
        <v>63</v>
      </c>
      <c r="B18" s="6">
        <v>45815</v>
      </c>
      <c r="C18" s="7" t="s">
        <v>20</v>
      </c>
      <c r="D18" s="7" t="s">
        <v>21</v>
      </c>
      <c r="E18" s="7" t="s">
        <v>8</v>
      </c>
      <c r="F18" s="7">
        <v>200</v>
      </c>
      <c r="G18" s="7">
        <v>45</v>
      </c>
      <c r="H18" s="8">
        <f>Sales[[#This Row],[Price ($)]]*Sales[[#This Row],[Quantity]]</f>
        <v>9000</v>
      </c>
      <c r="J18"/>
    </row>
    <row r="19" spans="1:10" ht="15.75" customHeight="1" x14ac:dyDescent="0.3">
      <c r="A19" s="9" t="s">
        <v>64</v>
      </c>
      <c r="B19" s="6">
        <v>45825</v>
      </c>
      <c r="C19" s="10" t="s">
        <v>6</v>
      </c>
      <c r="D19" s="10" t="s">
        <v>30</v>
      </c>
      <c r="E19" s="10" t="s">
        <v>8</v>
      </c>
      <c r="F19" s="10">
        <v>950</v>
      </c>
      <c r="G19" s="10">
        <v>25</v>
      </c>
      <c r="H19" s="8">
        <f>Sales[[#This Row],[Price ($)]]*Sales[[#This Row],[Quantity]]</f>
        <v>23750</v>
      </c>
      <c r="J19"/>
    </row>
    <row r="20" spans="1:10" ht="15.75" customHeight="1" x14ac:dyDescent="0.3">
      <c r="A20" s="9" t="s">
        <v>64</v>
      </c>
      <c r="B20" s="6">
        <v>45825</v>
      </c>
      <c r="C20" s="10" t="s">
        <v>6</v>
      </c>
      <c r="D20" s="10" t="s">
        <v>30</v>
      </c>
      <c r="E20" s="10" t="s">
        <v>8</v>
      </c>
      <c r="F20" s="10">
        <v>950</v>
      </c>
      <c r="G20" s="10">
        <v>25</v>
      </c>
      <c r="H20" s="8">
        <f>Sales[[#This Row],[Price ($)]]*Sales[[#This Row],[Quantity]]</f>
        <v>23750</v>
      </c>
      <c r="J20"/>
    </row>
    <row r="21" spans="1:10" ht="15.75" customHeight="1" x14ac:dyDescent="0.3">
      <c r="A21" s="5" t="s">
        <v>73</v>
      </c>
      <c r="B21" s="6">
        <v>45847</v>
      </c>
      <c r="C21" s="7" t="s">
        <v>60</v>
      </c>
      <c r="D21" s="7" t="s">
        <v>61</v>
      </c>
      <c r="E21" s="7" t="s">
        <v>37</v>
      </c>
      <c r="F21" s="7">
        <v>100</v>
      </c>
      <c r="G21" s="7">
        <v>20</v>
      </c>
      <c r="H21" s="8">
        <f>Sales[[#This Row],[Price ($)]]*Sales[[#This Row],[Quantity]]</f>
        <v>2000</v>
      </c>
      <c r="J21"/>
    </row>
    <row r="22" spans="1:10" ht="15.75" customHeight="1" x14ac:dyDescent="0.3">
      <c r="A22" s="9" t="s">
        <v>67</v>
      </c>
      <c r="B22" s="6">
        <v>45849</v>
      </c>
      <c r="C22" s="10" t="s">
        <v>24</v>
      </c>
      <c r="D22" s="10" t="s">
        <v>52</v>
      </c>
      <c r="E22" s="10" t="s">
        <v>14</v>
      </c>
      <c r="F22" s="10">
        <v>400</v>
      </c>
      <c r="G22" s="10">
        <v>40</v>
      </c>
      <c r="H22" s="8">
        <f>Sales[[#This Row],[Price ($)]]*Sales[[#This Row],[Quantity]]</f>
        <v>16000</v>
      </c>
      <c r="J22"/>
    </row>
    <row r="23" spans="1:10" ht="15.75" customHeight="1" x14ac:dyDescent="0.3">
      <c r="A23" s="9" t="s">
        <v>63</v>
      </c>
      <c r="B23" s="6">
        <v>45857</v>
      </c>
      <c r="C23" s="10" t="s">
        <v>22</v>
      </c>
      <c r="D23" s="10" t="s">
        <v>23</v>
      </c>
      <c r="E23" s="10" t="s">
        <v>11</v>
      </c>
      <c r="F23" s="10">
        <v>30</v>
      </c>
      <c r="G23" s="10">
        <v>5</v>
      </c>
      <c r="H23" s="8">
        <f>Sales[[#This Row],[Price ($)]]*Sales[[#This Row],[Quantity]]</f>
        <v>150</v>
      </c>
      <c r="J23"/>
    </row>
    <row r="24" spans="1:10" ht="15.75" customHeight="1" x14ac:dyDescent="0.3">
      <c r="A24" s="9" t="s">
        <v>72</v>
      </c>
      <c r="B24" s="6">
        <v>45857</v>
      </c>
      <c r="C24" s="10" t="s">
        <v>48</v>
      </c>
      <c r="D24" s="10" t="s">
        <v>49</v>
      </c>
      <c r="E24" s="10" t="s">
        <v>8</v>
      </c>
      <c r="F24" s="10">
        <v>150</v>
      </c>
      <c r="G24" s="10">
        <v>30</v>
      </c>
      <c r="H24" s="8">
        <f>Sales[[#This Row],[Price ($)]]*Sales[[#This Row],[Quantity]]</f>
        <v>4500</v>
      </c>
      <c r="J24"/>
    </row>
    <row r="25" spans="1:10" ht="15.75" customHeight="1" x14ac:dyDescent="0.3">
      <c r="A25" s="5" t="s">
        <v>62</v>
      </c>
      <c r="B25" s="6">
        <v>45883</v>
      </c>
      <c r="C25" s="7" t="s">
        <v>42</v>
      </c>
      <c r="D25" s="7" t="s">
        <v>43</v>
      </c>
      <c r="E25" s="7" t="s">
        <v>19</v>
      </c>
      <c r="F25" s="7">
        <v>200</v>
      </c>
      <c r="G25" s="7">
        <v>10</v>
      </c>
      <c r="H25" s="8">
        <f>Sales[[#This Row],[Price ($)]]*Sales[[#This Row],[Quantity]]</f>
        <v>2000</v>
      </c>
      <c r="J25"/>
    </row>
    <row r="26" spans="1:10" ht="15.75" customHeight="1" x14ac:dyDescent="0.3">
      <c r="A26" s="9" t="s">
        <v>69</v>
      </c>
      <c r="B26" s="6">
        <v>45889</v>
      </c>
      <c r="C26" s="10" t="s">
        <v>32</v>
      </c>
      <c r="D26" s="10" t="s">
        <v>38</v>
      </c>
      <c r="E26" s="10" t="s">
        <v>8</v>
      </c>
      <c r="F26" s="10">
        <v>160</v>
      </c>
      <c r="G26" s="10">
        <v>15</v>
      </c>
      <c r="H26" s="8">
        <f>Sales[[#This Row],[Price ($)]]*Sales[[#This Row],[Quantity]]</f>
        <v>2400</v>
      </c>
      <c r="J26"/>
    </row>
    <row r="27" spans="1:10" ht="15.75" customHeight="1" x14ac:dyDescent="0.3">
      <c r="A27" s="5" t="s">
        <v>67</v>
      </c>
      <c r="B27" s="6">
        <v>45890</v>
      </c>
      <c r="C27" s="7" t="s">
        <v>35</v>
      </c>
      <c r="D27" s="7" t="s">
        <v>36</v>
      </c>
      <c r="E27" s="7" t="s">
        <v>37</v>
      </c>
      <c r="F27" s="7">
        <v>50</v>
      </c>
      <c r="G27" s="7">
        <v>35</v>
      </c>
      <c r="H27" s="8">
        <f>Sales[[#This Row],[Price ($)]]*Sales[[#This Row],[Quantity]]</f>
        <v>1750</v>
      </c>
      <c r="J27"/>
    </row>
    <row r="28" spans="1:10" ht="15.75" customHeight="1" x14ac:dyDescent="0.3">
      <c r="A28" s="5" t="s">
        <v>67</v>
      </c>
      <c r="B28" s="6">
        <v>45890</v>
      </c>
      <c r="C28" s="7" t="s">
        <v>35</v>
      </c>
      <c r="D28" s="7" t="s">
        <v>36</v>
      </c>
      <c r="E28" s="7" t="s">
        <v>37</v>
      </c>
      <c r="F28" s="7">
        <v>50</v>
      </c>
      <c r="G28" s="7">
        <v>35</v>
      </c>
      <c r="H28" s="8">
        <f>Sales[[#This Row],[Price ($)]]*Sales[[#This Row],[Quantity]]</f>
        <v>1750</v>
      </c>
      <c r="J28"/>
    </row>
    <row r="29" spans="1:10" ht="15.75" customHeight="1" x14ac:dyDescent="0.3">
      <c r="A29" s="5" t="s">
        <v>63</v>
      </c>
      <c r="B29" s="6">
        <v>45892</v>
      </c>
      <c r="C29" s="7" t="s">
        <v>24</v>
      </c>
      <c r="D29" s="7" t="s">
        <v>25</v>
      </c>
      <c r="E29" s="7" t="s">
        <v>14</v>
      </c>
      <c r="F29" s="7">
        <v>90</v>
      </c>
      <c r="G29" s="7">
        <v>35</v>
      </c>
      <c r="H29" s="8">
        <f>Sales[[#This Row],[Price ($)]]*Sales[[#This Row],[Quantity]]</f>
        <v>3150</v>
      </c>
      <c r="J29"/>
    </row>
    <row r="30" spans="1:10" ht="15.75" customHeight="1" x14ac:dyDescent="0.3">
      <c r="A30" s="9" t="s">
        <v>63</v>
      </c>
      <c r="B30" s="6">
        <v>45905</v>
      </c>
      <c r="C30" s="10" t="s">
        <v>26</v>
      </c>
      <c r="D30" s="10" t="s">
        <v>27</v>
      </c>
      <c r="E30" s="10" t="s">
        <v>8</v>
      </c>
      <c r="F30" s="10">
        <v>500</v>
      </c>
      <c r="G30" s="10">
        <v>50</v>
      </c>
      <c r="H30" s="8">
        <f>Sales[[#This Row],[Price ($)]]*Sales[[#This Row],[Quantity]]</f>
        <v>25000</v>
      </c>
      <c r="J30"/>
    </row>
    <row r="31" spans="1:10" ht="15.75" customHeight="1" x14ac:dyDescent="0.3">
      <c r="A31" s="9" t="s">
        <v>67</v>
      </c>
      <c r="B31" s="6">
        <v>45929</v>
      </c>
      <c r="C31" s="10" t="s">
        <v>15</v>
      </c>
      <c r="D31" s="10" t="s">
        <v>50</v>
      </c>
      <c r="E31" s="10" t="s">
        <v>8</v>
      </c>
      <c r="F31" s="10">
        <v>800</v>
      </c>
      <c r="G31" s="10">
        <v>45</v>
      </c>
      <c r="H31" s="8">
        <f>Sales[[#This Row],[Price ($)]]*Sales[[#This Row],[Quantity]]</f>
        <v>36000</v>
      </c>
      <c r="J31"/>
    </row>
    <row r="32" spans="1:10" ht="15.75" customHeight="1" x14ac:dyDescent="0.3">
      <c r="A32" s="5" t="s">
        <v>63</v>
      </c>
      <c r="B32" s="6">
        <v>45944</v>
      </c>
      <c r="C32" s="7" t="s">
        <v>28</v>
      </c>
      <c r="D32" s="7" t="s">
        <v>29</v>
      </c>
      <c r="E32" s="7" t="s">
        <v>19</v>
      </c>
      <c r="F32" s="7">
        <v>130</v>
      </c>
      <c r="G32" s="7">
        <v>10</v>
      </c>
      <c r="H32" s="8">
        <f>Sales[[#This Row],[Price ($)]]*Sales[[#This Row],[Quantity]]</f>
        <v>1300</v>
      </c>
      <c r="J32"/>
    </row>
    <row r="33" spans="1:10" ht="15.75" customHeight="1" x14ac:dyDescent="0.3">
      <c r="A33" s="5" t="s">
        <v>65</v>
      </c>
      <c r="B33" s="6">
        <v>45986</v>
      </c>
      <c r="C33" s="7" t="s">
        <v>9</v>
      </c>
      <c r="D33" s="7" t="s">
        <v>23</v>
      </c>
      <c r="E33" s="7" t="s">
        <v>11</v>
      </c>
      <c r="F33" s="7">
        <v>90</v>
      </c>
      <c r="G33" s="7">
        <v>40</v>
      </c>
      <c r="H33" s="8">
        <f>Sales[[#This Row],[Price ($)]]*Sales[[#This Row],[Quantity]]</f>
        <v>3600</v>
      </c>
      <c r="J33"/>
    </row>
    <row r="34" spans="1:10" ht="15.75" customHeight="1" x14ac:dyDescent="0.3">
      <c r="A34" s="5" t="s">
        <v>67</v>
      </c>
      <c r="B34" s="6">
        <v>45993</v>
      </c>
      <c r="C34" s="7" t="s">
        <v>58</v>
      </c>
      <c r="D34" s="7" t="s">
        <v>59</v>
      </c>
      <c r="E34" s="7" t="s">
        <v>11</v>
      </c>
      <c r="F34" s="7">
        <v>50</v>
      </c>
      <c r="G34" s="7">
        <v>50</v>
      </c>
      <c r="H34" s="8">
        <f>Sales[[#This Row],[Price ($)]]*Sales[[#This Row],[Quantity]]</f>
        <v>2500</v>
      </c>
      <c r="J34"/>
    </row>
    <row r="35" spans="1:10" ht="15.75" customHeight="1" x14ac:dyDescent="0.3">
      <c r="A35" s="9" t="s">
        <v>66</v>
      </c>
      <c r="B35" s="6">
        <v>45999</v>
      </c>
      <c r="C35" s="10" t="s">
        <v>12</v>
      </c>
      <c r="D35" s="10" t="s">
        <v>31</v>
      </c>
      <c r="E35" s="10" t="s">
        <v>14</v>
      </c>
      <c r="F35" s="10">
        <v>120</v>
      </c>
      <c r="G35" s="10">
        <v>35</v>
      </c>
      <c r="H35" s="8">
        <f>Sales[[#This Row],[Price ($)]]*Sales[[#This Row],[Quantity]]</f>
        <v>4200</v>
      </c>
      <c r="J35"/>
    </row>
    <row r="36" spans="1:10" ht="15.75" customHeight="1" x14ac:dyDescent="0.3"/>
    <row r="37" spans="1:10" ht="15.75" customHeight="1" x14ac:dyDescent="0.3"/>
    <row r="38" spans="1:10" ht="15.75" customHeight="1" x14ac:dyDescent="0.3"/>
    <row r="39" spans="1:10" ht="15.75" customHeight="1" x14ac:dyDescent="0.3"/>
    <row r="40" spans="1:10" ht="15.75" customHeight="1" x14ac:dyDescent="0.3"/>
    <row r="41" spans="1:10" ht="15.75" customHeight="1" x14ac:dyDescent="0.3"/>
    <row r="42" spans="1:10" ht="15.75" customHeight="1" x14ac:dyDescent="0.3"/>
    <row r="43" spans="1:10" ht="15.75" customHeight="1" x14ac:dyDescent="0.3"/>
    <row r="44" spans="1:10" ht="15.75" customHeight="1" x14ac:dyDescent="0.3"/>
    <row r="45" spans="1:10" ht="15.75" customHeight="1" x14ac:dyDescent="0.3"/>
    <row r="46" spans="1:10" ht="15.75" customHeight="1" x14ac:dyDescent="0.3"/>
    <row r="47" spans="1:10" ht="15.75" customHeight="1" x14ac:dyDescent="0.3"/>
    <row r="48" spans="1:10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78601-A59A-428B-BB84-C5ADA05E64B5}">
  <dimension ref="A3:B72"/>
  <sheetViews>
    <sheetView topLeftCell="A44" workbookViewId="0">
      <selection activeCell="S56" sqref="S56"/>
    </sheetView>
  </sheetViews>
  <sheetFormatPr defaultRowHeight="14.4" x14ac:dyDescent="0.3"/>
  <cols>
    <col min="1" max="1" width="12.44140625" bestFit="1" customWidth="1"/>
    <col min="2" max="2" width="11.109375" bestFit="1" customWidth="1"/>
    <col min="3" max="3" width="10.33203125" bestFit="1" customWidth="1"/>
    <col min="4" max="4" width="7.44140625" bestFit="1" customWidth="1"/>
    <col min="5" max="5" width="7.33203125" bestFit="1" customWidth="1"/>
    <col min="6" max="6" width="7.77734375" bestFit="1" customWidth="1"/>
    <col min="7" max="7" width="10.5546875" bestFit="1" customWidth="1"/>
    <col min="8" max="8" width="5" bestFit="1" customWidth="1"/>
    <col min="9" max="9" width="6" bestFit="1" customWidth="1"/>
    <col min="10" max="10" width="5" bestFit="1" customWidth="1"/>
    <col min="11" max="13" width="6" bestFit="1" customWidth="1"/>
    <col min="14" max="14" width="10.5546875" bestFit="1" customWidth="1"/>
    <col min="15" max="24" width="5" bestFit="1" customWidth="1"/>
    <col min="25" max="31" width="6" bestFit="1" customWidth="1"/>
    <col min="32" max="32" width="10.5546875" bestFit="1" customWidth="1"/>
  </cols>
  <sheetData>
    <row r="3" spans="1:2" x14ac:dyDescent="0.3">
      <c r="A3" s="11" t="s">
        <v>77</v>
      </c>
      <c r="B3" t="s">
        <v>78</v>
      </c>
    </row>
    <row r="4" spans="1:2" x14ac:dyDescent="0.3">
      <c r="A4" s="12" t="s">
        <v>67</v>
      </c>
      <c r="B4">
        <v>67950</v>
      </c>
    </row>
    <row r="5" spans="1:2" x14ac:dyDescent="0.3">
      <c r="A5" s="12" t="s">
        <v>62</v>
      </c>
      <c r="B5">
        <v>62300</v>
      </c>
    </row>
    <row r="6" spans="1:2" x14ac:dyDescent="0.3">
      <c r="A6" s="12" t="s">
        <v>64</v>
      </c>
      <c r="B6">
        <v>47500</v>
      </c>
    </row>
    <row r="7" spans="1:2" x14ac:dyDescent="0.3">
      <c r="A7" s="12" t="s">
        <v>63</v>
      </c>
      <c r="B7">
        <v>40850</v>
      </c>
    </row>
    <row r="8" spans="1:2" x14ac:dyDescent="0.3">
      <c r="A8" s="12" t="s">
        <v>71</v>
      </c>
      <c r="B8">
        <v>35000</v>
      </c>
    </row>
    <row r="9" spans="1:2" x14ac:dyDescent="0.3">
      <c r="A9" s="12" t="s">
        <v>70</v>
      </c>
      <c r="B9">
        <v>9800</v>
      </c>
    </row>
    <row r="10" spans="1:2" x14ac:dyDescent="0.3">
      <c r="A10" s="12" t="s">
        <v>68</v>
      </c>
      <c r="B10">
        <v>9600</v>
      </c>
    </row>
    <row r="11" spans="1:2" x14ac:dyDescent="0.3">
      <c r="A11" s="12" t="s">
        <v>72</v>
      </c>
      <c r="B11">
        <v>4500</v>
      </c>
    </row>
    <row r="12" spans="1:2" x14ac:dyDescent="0.3">
      <c r="A12" s="12" t="s">
        <v>66</v>
      </c>
      <c r="B12">
        <v>4200</v>
      </c>
    </row>
    <row r="13" spans="1:2" x14ac:dyDescent="0.3">
      <c r="A13" s="12" t="s">
        <v>65</v>
      </c>
      <c r="B13">
        <v>3600</v>
      </c>
    </row>
    <row r="14" spans="1:2" x14ac:dyDescent="0.3">
      <c r="A14" s="12" t="s">
        <v>69</v>
      </c>
      <c r="B14">
        <v>2400</v>
      </c>
    </row>
    <row r="15" spans="1:2" x14ac:dyDescent="0.3">
      <c r="A15" s="12" t="s">
        <v>73</v>
      </c>
      <c r="B15">
        <v>2000</v>
      </c>
    </row>
    <row r="16" spans="1:2" x14ac:dyDescent="0.3">
      <c r="A16" s="12" t="s">
        <v>76</v>
      </c>
      <c r="B16">
        <v>289700</v>
      </c>
    </row>
    <row r="18" spans="1:2" x14ac:dyDescent="0.3">
      <c r="A18" s="11" t="s">
        <v>77</v>
      </c>
      <c r="B18" t="s">
        <v>78</v>
      </c>
    </row>
    <row r="19" spans="1:2" x14ac:dyDescent="0.3">
      <c r="A19" s="12" t="s">
        <v>79</v>
      </c>
      <c r="B19">
        <v>41400</v>
      </c>
    </row>
    <row r="20" spans="1:2" x14ac:dyDescent="0.3">
      <c r="A20" s="12" t="s">
        <v>80</v>
      </c>
      <c r="B20">
        <v>3450</v>
      </c>
    </row>
    <row r="21" spans="1:2" x14ac:dyDescent="0.3">
      <c r="A21" s="12" t="s">
        <v>81</v>
      </c>
      <c r="B21">
        <v>9250</v>
      </c>
    </row>
    <row r="22" spans="1:2" x14ac:dyDescent="0.3">
      <c r="A22" s="12" t="s">
        <v>82</v>
      </c>
      <c r="B22">
        <v>32500</v>
      </c>
    </row>
    <row r="23" spans="1:2" x14ac:dyDescent="0.3">
      <c r="A23" s="12" t="s">
        <v>83</v>
      </c>
      <c r="B23">
        <v>37050</v>
      </c>
    </row>
    <row r="24" spans="1:2" x14ac:dyDescent="0.3">
      <c r="A24" s="12" t="s">
        <v>84</v>
      </c>
      <c r="B24">
        <v>59750</v>
      </c>
    </row>
    <row r="25" spans="1:2" x14ac:dyDescent="0.3">
      <c r="A25" s="12" t="s">
        <v>85</v>
      </c>
      <c r="B25">
        <v>22650</v>
      </c>
    </row>
    <row r="26" spans="1:2" x14ac:dyDescent="0.3">
      <c r="A26" s="12" t="s">
        <v>86</v>
      </c>
      <c r="B26">
        <v>11050</v>
      </c>
    </row>
    <row r="27" spans="1:2" x14ac:dyDescent="0.3">
      <c r="A27" s="12" t="s">
        <v>87</v>
      </c>
      <c r="B27">
        <v>61000</v>
      </c>
    </row>
    <row r="28" spans="1:2" x14ac:dyDescent="0.3">
      <c r="A28" s="12" t="s">
        <v>88</v>
      </c>
      <c r="B28">
        <v>1300</v>
      </c>
    </row>
    <row r="29" spans="1:2" x14ac:dyDescent="0.3">
      <c r="A29" s="12" t="s">
        <v>89</v>
      </c>
      <c r="B29">
        <v>3600</v>
      </c>
    </row>
    <row r="30" spans="1:2" x14ac:dyDescent="0.3">
      <c r="A30" s="12" t="s">
        <v>90</v>
      </c>
      <c r="B30">
        <v>6700</v>
      </c>
    </row>
    <row r="31" spans="1:2" x14ac:dyDescent="0.3">
      <c r="A31" s="12" t="s">
        <v>76</v>
      </c>
      <c r="B31">
        <v>289700</v>
      </c>
    </row>
    <row r="33" spans="1:2" x14ac:dyDescent="0.3">
      <c r="A33" s="11" t="s">
        <v>77</v>
      </c>
      <c r="B33" t="s">
        <v>78</v>
      </c>
    </row>
    <row r="34" spans="1:2" x14ac:dyDescent="0.3">
      <c r="A34" s="12" t="s">
        <v>37</v>
      </c>
      <c r="B34">
        <v>5500</v>
      </c>
    </row>
    <row r="35" spans="1:2" x14ac:dyDescent="0.3">
      <c r="A35" s="12" t="s">
        <v>8</v>
      </c>
      <c r="B35">
        <v>234200</v>
      </c>
    </row>
    <row r="36" spans="1:2" x14ac:dyDescent="0.3">
      <c r="A36" s="12" t="s">
        <v>11</v>
      </c>
      <c r="B36">
        <v>14750</v>
      </c>
    </row>
    <row r="37" spans="1:2" x14ac:dyDescent="0.3">
      <c r="A37" s="12" t="s">
        <v>14</v>
      </c>
      <c r="B37">
        <v>30550</v>
      </c>
    </row>
    <row r="38" spans="1:2" x14ac:dyDescent="0.3">
      <c r="A38" s="12" t="s">
        <v>19</v>
      </c>
      <c r="B38">
        <v>4700</v>
      </c>
    </row>
    <row r="39" spans="1:2" x14ac:dyDescent="0.3">
      <c r="A39" s="12" t="s">
        <v>76</v>
      </c>
      <c r="B39">
        <v>289700</v>
      </c>
    </row>
    <row r="41" spans="1:2" x14ac:dyDescent="0.3">
      <c r="A41" s="11" t="s">
        <v>77</v>
      </c>
      <c r="B41" t="s">
        <v>78</v>
      </c>
    </row>
    <row r="42" spans="1:2" x14ac:dyDescent="0.3">
      <c r="A42" s="12" t="s">
        <v>30</v>
      </c>
      <c r="B42" s="13">
        <v>47500</v>
      </c>
    </row>
    <row r="43" spans="1:2" x14ac:dyDescent="0.3">
      <c r="A43" s="12" t="s">
        <v>50</v>
      </c>
      <c r="B43" s="13">
        <v>36000</v>
      </c>
    </row>
    <row r="44" spans="1:2" x14ac:dyDescent="0.3">
      <c r="A44" s="12" t="s">
        <v>45</v>
      </c>
      <c r="B44" s="13">
        <v>35000</v>
      </c>
    </row>
    <row r="45" spans="1:2" x14ac:dyDescent="0.3">
      <c r="A45" s="12" t="s">
        <v>7</v>
      </c>
      <c r="B45" s="13">
        <v>30000</v>
      </c>
    </row>
    <row r="46" spans="1:2" x14ac:dyDescent="0.3">
      <c r="A46" s="12" t="s">
        <v>27</v>
      </c>
      <c r="B46" s="13">
        <v>25000</v>
      </c>
    </row>
    <row r="47" spans="1:2" x14ac:dyDescent="0.3">
      <c r="A47" s="12" t="s">
        <v>16</v>
      </c>
      <c r="B47" s="13">
        <v>22500</v>
      </c>
    </row>
    <row r="48" spans="1:2" x14ac:dyDescent="0.3">
      <c r="A48" s="12" t="s">
        <v>52</v>
      </c>
      <c r="B48" s="13">
        <v>16000</v>
      </c>
    </row>
    <row r="49" spans="1:2" x14ac:dyDescent="0.3">
      <c r="A49" s="12" t="s">
        <v>39</v>
      </c>
      <c r="B49" s="13">
        <v>9800</v>
      </c>
    </row>
    <row r="50" spans="1:2" x14ac:dyDescent="0.3">
      <c r="A50" s="12" t="s">
        <v>34</v>
      </c>
      <c r="B50" s="13">
        <v>9600</v>
      </c>
    </row>
    <row r="51" spans="1:2" x14ac:dyDescent="0.3">
      <c r="A51" s="12" t="s">
        <v>21</v>
      </c>
      <c r="B51" s="13">
        <v>9000</v>
      </c>
    </row>
    <row r="52" spans="1:2" x14ac:dyDescent="0.3">
      <c r="A52" s="12" t="s">
        <v>13</v>
      </c>
      <c r="B52" s="13">
        <v>5200</v>
      </c>
    </row>
    <row r="53" spans="1:2" x14ac:dyDescent="0.3">
      <c r="A53" s="12" t="s">
        <v>49</v>
      </c>
      <c r="B53" s="13">
        <v>4500</v>
      </c>
    </row>
    <row r="54" spans="1:2" x14ac:dyDescent="0.3">
      <c r="A54" s="12" t="s">
        <v>31</v>
      </c>
      <c r="B54" s="13">
        <v>4200</v>
      </c>
    </row>
    <row r="55" spans="1:2" x14ac:dyDescent="0.3">
      <c r="A55" s="12" t="s">
        <v>23</v>
      </c>
      <c r="B55" s="13">
        <v>3750</v>
      </c>
    </row>
    <row r="56" spans="1:2" x14ac:dyDescent="0.3">
      <c r="A56" s="12" t="s">
        <v>36</v>
      </c>
      <c r="B56" s="13">
        <v>3500</v>
      </c>
    </row>
    <row r="57" spans="1:2" x14ac:dyDescent="0.3">
      <c r="A57" s="12" t="s">
        <v>51</v>
      </c>
      <c r="B57" s="13">
        <v>3250</v>
      </c>
    </row>
    <row r="58" spans="1:2" x14ac:dyDescent="0.3">
      <c r="A58" s="12" t="s">
        <v>25</v>
      </c>
      <c r="B58" s="13">
        <v>3150</v>
      </c>
    </row>
    <row r="59" spans="1:2" x14ac:dyDescent="0.3">
      <c r="A59" s="12" t="s">
        <v>59</v>
      </c>
      <c r="B59" s="13">
        <v>2500</v>
      </c>
    </row>
    <row r="60" spans="1:2" x14ac:dyDescent="0.3">
      <c r="A60" s="12" t="s">
        <v>38</v>
      </c>
      <c r="B60" s="13">
        <v>2400</v>
      </c>
    </row>
    <row r="61" spans="1:2" x14ac:dyDescent="0.3">
      <c r="A61" s="12" t="s">
        <v>41</v>
      </c>
      <c r="B61" s="13">
        <v>2250</v>
      </c>
    </row>
    <row r="62" spans="1:2" x14ac:dyDescent="0.3">
      <c r="A62" s="12" t="s">
        <v>33</v>
      </c>
      <c r="B62" s="13">
        <v>2250</v>
      </c>
    </row>
    <row r="63" spans="1:2" x14ac:dyDescent="0.3">
      <c r="A63" s="12" t="s">
        <v>61</v>
      </c>
      <c r="B63" s="13">
        <v>2000</v>
      </c>
    </row>
    <row r="64" spans="1:2" x14ac:dyDescent="0.3">
      <c r="A64" s="12" t="s">
        <v>43</v>
      </c>
      <c r="B64" s="13">
        <v>2000</v>
      </c>
    </row>
    <row r="65" spans="1:2" x14ac:dyDescent="0.3">
      <c r="A65" s="12" t="s">
        <v>54</v>
      </c>
      <c r="B65" s="13">
        <v>1800</v>
      </c>
    </row>
    <row r="66" spans="1:2" x14ac:dyDescent="0.3">
      <c r="A66" s="12" t="s">
        <v>47</v>
      </c>
      <c r="B66" s="13">
        <v>1600</v>
      </c>
    </row>
    <row r="67" spans="1:2" x14ac:dyDescent="0.3">
      <c r="A67" s="12" t="s">
        <v>18</v>
      </c>
      <c r="B67" s="13">
        <v>1400</v>
      </c>
    </row>
    <row r="68" spans="1:2" x14ac:dyDescent="0.3">
      <c r="A68" s="12" t="s">
        <v>29</v>
      </c>
      <c r="B68" s="13">
        <v>1300</v>
      </c>
    </row>
    <row r="69" spans="1:2" x14ac:dyDescent="0.3">
      <c r="A69" s="12" t="s">
        <v>10</v>
      </c>
      <c r="B69" s="13">
        <v>1200</v>
      </c>
    </row>
    <row r="70" spans="1:2" x14ac:dyDescent="0.3">
      <c r="A70" s="12" t="s">
        <v>57</v>
      </c>
      <c r="B70" s="13">
        <v>650</v>
      </c>
    </row>
    <row r="71" spans="1:2" x14ac:dyDescent="0.3">
      <c r="A71" s="12" t="s">
        <v>56</v>
      </c>
      <c r="B71" s="13">
        <v>400</v>
      </c>
    </row>
    <row r="72" spans="1:2" x14ac:dyDescent="0.3">
      <c r="A72" s="12" t="s">
        <v>76</v>
      </c>
      <c r="B72" s="13">
        <v>289700</v>
      </c>
    </row>
  </sheetData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7C88F-BAC9-4E3C-9C54-26094155C6F6}">
  <dimension ref="A1"/>
  <sheetViews>
    <sheetView showGridLines="0" tabSelected="1" workbookViewId="0">
      <selection activeCell="U24" sqref="U24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Data</vt:lpstr>
      <vt:lpstr>Pivot Tables</vt:lpstr>
      <vt:lpstr>Dash 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ajith h</dc:creator>
  <cp:lastModifiedBy>ajith h</cp:lastModifiedBy>
  <dcterms:created xsi:type="dcterms:W3CDTF">2026-04-17T09:33:08Z</dcterms:created>
  <dcterms:modified xsi:type="dcterms:W3CDTF">2026-04-18T06:39:11Z</dcterms:modified>
</cp:coreProperties>
</file>